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<sst xmlns="http://schemas.openxmlformats.org/spreadsheetml/2006/main" count="227" uniqueCount="167">
  <si>
    <t>CODIGO</t>
  </si>
  <si>
    <t>CODIGO DE BARRAS</t>
  </si>
  <si>
    <t>NOMBRE</t>
  </si>
  <si>
    <t>PRECIO</t>
  </si>
  <si>
    <t>EXISTENCIA</t>
  </si>
  <si>
    <t>MARCA</t>
  </si>
  <si>
    <t>MASTER PACK</t>
  </si>
  <si>
    <t>precio sugerido</t>
  </si>
  <si>
    <t>KRIA-ATO</t>
  </si>
  <si>
    <t>Atomizadores</t>
  </si>
  <si>
    <t>KROKETILANDIA</t>
  </si>
  <si>
    <t>USA654</t>
  </si>
  <si>
    <t>Bote churu 4 sabores 50 pzs x 14 gr 700 gr</t>
  </si>
  <si>
    <t>CHURU</t>
  </si>
  <si>
    <t>KRIA-BOPLA</t>
  </si>
  <si>
    <t>Bote almacenamiento croqueta</t>
  </si>
  <si>
    <t>KRIA-BOPUGA</t>
  </si>
  <si>
    <t xml:space="preserve">Venco pulga y garrapata </t>
  </si>
  <si>
    <t>VENCO</t>
  </si>
  <si>
    <t>KRIA-BRATO2-45</t>
  </si>
  <si>
    <t>Bravecto Tableta masticable 2 - 4.5 kg amarillo 37 días 45 mg</t>
  </si>
  <si>
    <t>BRAVECTO</t>
  </si>
  <si>
    <t>KRIA-BRATO20-40</t>
  </si>
  <si>
    <t>Bravecto Tableta masticable 20 - 40 kg azul 37 días 400 mg</t>
  </si>
  <si>
    <t>KRIA-BRATO10-20</t>
  </si>
  <si>
    <t>Bravecto Tableta masticable 10 - 20 kg verde 37 días 200 mg</t>
  </si>
  <si>
    <t>KRIA-BRATO4.5-10</t>
  </si>
  <si>
    <t>Bravecto Tableta masticable 4.5 - 10 kg naranja 37 días 100 mg</t>
  </si>
  <si>
    <t>KRIA-CABANO</t>
  </si>
  <si>
    <t>Notiene</t>
  </si>
  <si>
    <t>Caja de barritas</t>
  </si>
  <si>
    <t>MARVELL</t>
  </si>
  <si>
    <t>KRIA-CASACH</t>
  </si>
  <si>
    <t>Casa chica</t>
  </si>
  <si>
    <t>KRIA-CASACO</t>
  </si>
  <si>
    <t>Casa conejo</t>
  </si>
  <si>
    <t>KRIA-CASACU</t>
  </si>
  <si>
    <t>Casa cuyo</t>
  </si>
  <si>
    <t>KRIA-CASAGD</t>
  </si>
  <si>
    <t>Casa grande</t>
  </si>
  <si>
    <t>KRIA-CASAHA</t>
  </si>
  <si>
    <t>Casa hamster</t>
  </si>
  <si>
    <t>KRIA-CASAJO</t>
  </si>
  <si>
    <t>Casa jumbo</t>
  </si>
  <si>
    <t>KRIA-CASAMD</t>
  </si>
  <si>
    <t>Casa mediana</t>
  </si>
  <si>
    <t>KRIA-CASAXCH</t>
  </si>
  <si>
    <t>Casa mini</t>
  </si>
  <si>
    <t>KRIA-CODASUAN</t>
  </si>
  <si>
    <t>Corrida disfraz</t>
  </si>
  <si>
    <t>KRIA-DETE10K</t>
  </si>
  <si>
    <t>Desparacitante hasta 10 kg</t>
  </si>
  <si>
    <t>KRIA-DETE30K</t>
  </si>
  <si>
    <t>Desparacitante hasta 30 kg</t>
  </si>
  <si>
    <t>KRIA-DETE05K</t>
  </si>
  <si>
    <t>Desparacitante hasta 5 kg</t>
  </si>
  <si>
    <t>HUCAZACO23</t>
  </si>
  <si>
    <t>Hueso carnaza blanco (2-3) 1 kg</t>
  </si>
  <si>
    <t>HUCAZACO34</t>
  </si>
  <si>
    <t>Hueso carnaza blanco (3-4) 1 kg</t>
  </si>
  <si>
    <t>HUCAZACO56</t>
  </si>
  <si>
    <t>Hueso carnaza blanco (5-6) 1 kg</t>
  </si>
  <si>
    <t>HUCAZACO78</t>
  </si>
  <si>
    <t>Hueso carnaza blanco (7-8) 1 kg</t>
  </si>
  <si>
    <t>HUCAZACO910</t>
  </si>
  <si>
    <t>Hueso carnaza blanco (9-10) 1 kg</t>
  </si>
  <si>
    <t>HUCAZACO1516</t>
  </si>
  <si>
    <t>Hueso carnaza blanco (15-16) 1 kg</t>
  </si>
  <si>
    <t>HUCAZAPRUM1005</t>
  </si>
  <si>
    <t>Hueso premium varita 12 x 0.5 cm</t>
  </si>
  <si>
    <t>HUCAZAPRUM101</t>
  </si>
  <si>
    <t>Hueso premium varita 12 x 1 cm</t>
  </si>
  <si>
    <t>HUCAZAPRUMCH</t>
  </si>
  <si>
    <t>Hueso premium ch</t>
  </si>
  <si>
    <t>HUCAZAPRUMMD</t>
  </si>
  <si>
    <t>Hueso premium md</t>
  </si>
  <si>
    <t>HUCAZAPRUMCHCHO</t>
  </si>
  <si>
    <t>Hueso premium ch chocolate</t>
  </si>
  <si>
    <t>HUCAZAPRUMMDCHO</t>
  </si>
  <si>
    <t>Hueso premium md chocolate</t>
  </si>
  <si>
    <t>PREMO-DECK1516</t>
  </si>
  <si>
    <t>Dentastick 1.5 x 16 cm</t>
  </si>
  <si>
    <t>PREMO-DECK1513</t>
  </si>
  <si>
    <t>Dentastick 1.5 x 13 cm</t>
  </si>
  <si>
    <t>PREMO-DECK1507</t>
  </si>
  <si>
    <t>Dentastick 1.5 x 7 cm</t>
  </si>
  <si>
    <t>JAAS</t>
  </si>
  <si>
    <t>Jabon insecticida scabisin antipulgas permetrina 100 gr</t>
  </si>
  <si>
    <t>SCABISIN</t>
  </si>
  <si>
    <t>MAANCH</t>
  </si>
  <si>
    <t>Mamisan chica</t>
  </si>
  <si>
    <t>MAMISAN</t>
  </si>
  <si>
    <t>Mamisan grande</t>
  </si>
  <si>
    <t>NEX3675</t>
  </si>
  <si>
    <t>Nexgard tableta masticable 3.6 - 7.5 kg amarillo tratamiento mensual 1 gr</t>
  </si>
  <si>
    <t>NEXGARD</t>
  </si>
  <si>
    <t>NEX15130</t>
  </si>
  <si>
    <t>Nexgard tableta masticable 15.1 - 30 kg morado tratamiento mensual 4 gr</t>
  </si>
  <si>
    <t>NEX235</t>
  </si>
  <si>
    <t>Nexgard tableta masticable 2 - 3.5 kg naranja tratamiento mensual 0.5 gr</t>
  </si>
  <si>
    <t>NEX3060</t>
  </si>
  <si>
    <t>Nexgard tableta masticable 30 - 60 kg rojo tratamiento mensual 8 gr</t>
  </si>
  <si>
    <t>NEX7615</t>
  </si>
  <si>
    <t>Nexgard tableta masticable 7.6 - 15 kg verde tratamiento mensual 2 gr</t>
  </si>
  <si>
    <t>NIYUES</t>
  </si>
  <si>
    <t>Nido yute esfera</t>
  </si>
  <si>
    <t>NIYUCA</t>
  </si>
  <si>
    <t>Nido yute casa</t>
  </si>
  <si>
    <t>ORDESDA</t>
  </si>
  <si>
    <t>Oreja deshidratada pz</t>
  </si>
  <si>
    <t>PALLODESDA</t>
  </si>
  <si>
    <t>Pata de pollo 1 kg</t>
  </si>
  <si>
    <t>PENADESDA</t>
  </si>
  <si>
    <t>Pesuña deshidratada pz</t>
  </si>
  <si>
    <t>LAT657</t>
  </si>
  <si>
    <t>Bote churu salmon 4 sabores 50 pzs x 14 gr 700 gr</t>
  </si>
  <si>
    <t>LATTASTYDOG</t>
  </si>
  <si>
    <t>Bote tasty dog golosinas para perros 5 sabores 50 tubos 15 gr 750 gr</t>
  </si>
  <si>
    <t>TASTY</t>
  </si>
  <si>
    <t>USA691</t>
  </si>
  <si>
    <t>Churu kitten (gatito) 4 pzs x 15 gr 56 gr</t>
  </si>
  <si>
    <t>USA693</t>
  </si>
  <si>
    <t>Churu senior (gatos +10 años) 4 pzs x 15 gr 56 gr</t>
  </si>
  <si>
    <t>USA504</t>
  </si>
  <si>
    <t>Filete de atún en caldo con sabor a cangrejo 15 gr</t>
  </si>
  <si>
    <t>USA502</t>
  </si>
  <si>
    <t>Filete de atún en caldo con sabor a vieiras 15 gr</t>
  </si>
  <si>
    <t>ALTAMINO10K</t>
  </si>
  <si>
    <t>Pieza minino plus 10kg</t>
  </si>
  <si>
    <t>MININO PLUS</t>
  </si>
  <si>
    <t>ALTODOPLUS-CARTUN</t>
  </si>
  <si>
    <t>Alimento sobre minino plus carnitas de atún 85 g</t>
  </si>
  <si>
    <t>ALTODOPLUS-PORAS</t>
  </si>
  <si>
    <t>Alimento sobre minino plus pollo en caldo con verduras 85 g</t>
  </si>
  <si>
    <t>ALTODOPLUS-SALCHA</t>
  </si>
  <si>
    <t>Alimento sobre minino plus salmón a la plancha 85 g</t>
  </si>
  <si>
    <t>PIPEFIDE-210XCH</t>
  </si>
  <si>
    <t>Fiproderm pipeta ectoparasiticida raza pequeña 2 a 10 kg 0.67 ml (Pipeta xch)</t>
  </si>
  <si>
    <t>FIPRODERM</t>
  </si>
  <si>
    <t>PROTECH-5MAS</t>
  </si>
  <si>
    <t>Protech azul</t>
  </si>
  <si>
    <t>PROTECH</t>
  </si>
  <si>
    <t>PROTECH-5MENOS</t>
  </si>
  <si>
    <t>Protech rosa</t>
  </si>
  <si>
    <t>SHAPOSCABIN</t>
  </si>
  <si>
    <t>Shampoo scabisin</t>
  </si>
  <si>
    <t>PREMO-CATE</t>
  </si>
  <si>
    <t>Premios masticales sin carnaza smartbones camote 8 huesos mini 112 gr</t>
  </si>
  <si>
    <t>PREMO-MANI</t>
  </si>
  <si>
    <t>Premios masticales sin carnaza smartbones mantequilla de maní 8 huesos mini 112 gr</t>
  </si>
  <si>
    <t>ALTODO-LODO</t>
  </si>
  <si>
    <t>Alimento húmedo sobre ganador lomo de cerdo 100 g</t>
  </si>
  <si>
    <t>GANADOR</t>
  </si>
  <si>
    <t>ALTODO-ESTO</t>
  </si>
  <si>
    <t>Alimento húmedo sobre ganador estofado de pato 100 g</t>
  </si>
  <si>
    <t>ALTODO-DEVO</t>
  </si>
  <si>
    <t>Alimento húmedo sobre ganador delicias de pavo 100 g</t>
  </si>
  <si>
    <t>ROPA-SUEMINI</t>
  </si>
  <si>
    <t>Sueter mini pz</t>
  </si>
  <si>
    <t>TRADESDA</t>
  </si>
  <si>
    <t>Traquea deshidratada pz</t>
  </si>
  <si>
    <t>VENOCHA</t>
  </si>
  <si>
    <t>Veneno cucaracha pz</t>
  </si>
  <si>
    <t>VENOCA</t>
  </si>
  <si>
    <t>Veneno mosca pz</t>
  </si>
  <si>
    <t>VENOON</t>
  </si>
  <si>
    <t>Veneno raton pz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</si>
</sst>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3" fontId="4" numFmtId="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5"/>
    <col customWidth="1" min="3" max="3" width="67.38"/>
    <col customWidth="1" min="6" max="6" width="14.38"/>
    <col customWidth="1" min="8" max="8" width="11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>
      <c r="A2" s="6" t="s">
        <v>8</v>
      </c>
      <c r="B2" s="7"/>
      <c r="C2" s="7" t="s">
        <v>9</v>
      </c>
      <c r="D2" s="8">
        <v>10.0</v>
      </c>
      <c r="E2" s="9"/>
      <c r="F2" s="10" t="s">
        <v>10</v>
      </c>
      <c r="G2" s="9"/>
      <c r="H2" s="11">
        <v>30.0</v>
      </c>
    </row>
    <row r="3">
      <c r="A3" s="6" t="s">
        <v>11</v>
      </c>
      <c r="B3" s="8">
        <v>8.50030015549E11</v>
      </c>
      <c r="C3" s="7" t="s">
        <v>12</v>
      </c>
      <c r="D3" s="8">
        <v>570.0</v>
      </c>
      <c r="E3" s="12"/>
      <c r="F3" s="10" t="s">
        <v>13</v>
      </c>
      <c r="G3" s="12"/>
      <c r="H3" s="13">
        <v>780.0</v>
      </c>
    </row>
    <row r="4">
      <c r="A4" s="6" t="s">
        <v>14</v>
      </c>
      <c r="B4" s="7"/>
      <c r="C4" s="14" t="s">
        <v>15</v>
      </c>
      <c r="D4" s="8">
        <v>120.0</v>
      </c>
      <c r="E4" s="9"/>
      <c r="F4" s="10" t="s">
        <v>10</v>
      </c>
      <c r="G4" s="9"/>
      <c r="H4" s="11">
        <v>250.0</v>
      </c>
    </row>
    <row r="5">
      <c r="A5" s="7" t="s">
        <v>16</v>
      </c>
      <c r="B5" s="7"/>
      <c r="C5" s="7" t="s">
        <v>17</v>
      </c>
      <c r="D5" s="8">
        <v>760.0</v>
      </c>
      <c r="E5" s="12"/>
      <c r="F5" s="10" t="s">
        <v>18</v>
      </c>
      <c r="G5" s="12"/>
      <c r="H5" s="13">
        <v>1250.0</v>
      </c>
    </row>
    <row r="6">
      <c r="A6" s="6" t="s">
        <v>19</v>
      </c>
      <c r="B6" s="8">
        <v>8.713184301222E12</v>
      </c>
      <c r="C6" s="7" t="s">
        <v>20</v>
      </c>
      <c r="D6" s="8">
        <v>170.0</v>
      </c>
      <c r="E6" s="9"/>
      <c r="F6" s="10" t="s">
        <v>21</v>
      </c>
      <c r="G6" s="9"/>
      <c r="H6" s="15">
        <f t="shared" ref="H6:H9" si="1">D6*2</f>
        <v>340</v>
      </c>
    </row>
    <row r="7">
      <c r="A7" s="6" t="s">
        <v>22</v>
      </c>
      <c r="B7" s="8">
        <v>8.713184301253E12</v>
      </c>
      <c r="C7" s="7" t="s">
        <v>23</v>
      </c>
      <c r="D7" s="8">
        <v>200.0</v>
      </c>
      <c r="E7" s="12"/>
      <c r="F7" s="10" t="s">
        <v>21</v>
      </c>
      <c r="G7" s="12"/>
      <c r="H7" s="15">
        <f t="shared" si="1"/>
        <v>400</v>
      </c>
    </row>
    <row r="8">
      <c r="A8" s="6" t="s">
        <v>24</v>
      </c>
      <c r="B8" s="8">
        <v>8.713184301246E12</v>
      </c>
      <c r="C8" s="7" t="s">
        <v>25</v>
      </c>
      <c r="D8" s="8">
        <v>190.0</v>
      </c>
      <c r="E8" s="9"/>
      <c r="F8" s="10" t="s">
        <v>21</v>
      </c>
      <c r="G8" s="9"/>
      <c r="H8" s="15">
        <f t="shared" si="1"/>
        <v>380</v>
      </c>
    </row>
    <row r="9">
      <c r="A9" s="6" t="s">
        <v>26</v>
      </c>
      <c r="B9" s="8">
        <v>8.713184301239E12</v>
      </c>
      <c r="C9" s="7" t="s">
        <v>27</v>
      </c>
      <c r="D9" s="8">
        <v>180.0</v>
      </c>
      <c r="E9" s="16"/>
      <c r="F9" s="10" t="s">
        <v>21</v>
      </c>
      <c r="G9" s="17"/>
      <c r="H9" s="15">
        <f t="shared" si="1"/>
        <v>360</v>
      </c>
    </row>
    <row r="10">
      <c r="A10" s="6" t="s">
        <v>28</v>
      </c>
      <c r="B10" s="6" t="s">
        <v>29</v>
      </c>
      <c r="C10" s="6" t="s">
        <v>30</v>
      </c>
      <c r="D10" s="8">
        <v>240.0</v>
      </c>
      <c r="E10" s="16"/>
      <c r="F10" s="10" t="s">
        <v>31</v>
      </c>
      <c r="G10" s="17"/>
      <c r="H10" s="18">
        <f>16*35</f>
        <v>560</v>
      </c>
    </row>
    <row r="11">
      <c r="A11" s="6" t="s">
        <v>32</v>
      </c>
      <c r="B11" s="7"/>
      <c r="C11" s="7" t="s">
        <v>33</v>
      </c>
      <c r="D11" s="19">
        <v>540.0</v>
      </c>
      <c r="E11" s="9"/>
      <c r="F11" s="10" t="s">
        <v>10</v>
      </c>
      <c r="G11" s="9"/>
      <c r="H11" s="11">
        <v>980.0</v>
      </c>
    </row>
    <row r="12">
      <c r="A12" s="6" t="s">
        <v>34</v>
      </c>
      <c r="B12" s="7"/>
      <c r="C12" s="7" t="s">
        <v>35</v>
      </c>
      <c r="D12" s="19">
        <v>180.0</v>
      </c>
      <c r="E12" s="9"/>
      <c r="F12" s="10" t="s">
        <v>10</v>
      </c>
      <c r="G12" s="9"/>
      <c r="H12" s="11">
        <v>350.0</v>
      </c>
    </row>
    <row r="13">
      <c r="A13" s="6" t="s">
        <v>36</v>
      </c>
      <c r="B13" s="7"/>
      <c r="C13" s="7" t="s">
        <v>37</v>
      </c>
      <c r="D13" s="19">
        <v>120.0</v>
      </c>
      <c r="E13" s="9"/>
      <c r="F13" s="10" t="s">
        <v>10</v>
      </c>
      <c r="G13" s="9"/>
      <c r="H13" s="11">
        <v>250.0</v>
      </c>
    </row>
    <row r="14">
      <c r="A14" s="6" t="s">
        <v>38</v>
      </c>
      <c r="B14" s="7"/>
      <c r="C14" s="7" t="s">
        <v>39</v>
      </c>
      <c r="D14" s="19">
        <v>900.0</v>
      </c>
      <c r="E14" s="9"/>
      <c r="F14" s="10" t="s">
        <v>10</v>
      </c>
      <c r="G14" s="9"/>
      <c r="H14" s="11">
        <v>1550.0</v>
      </c>
    </row>
    <row r="15">
      <c r="A15" s="6" t="s">
        <v>40</v>
      </c>
      <c r="B15" s="7"/>
      <c r="C15" s="7" t="s">
        <v>41</v>
      </c>
      <c r="D15" s="19">
        <v>100.0</v>
      </c>
      <c r="E15" s="9"/>
      <c r="F15" s="10" t="s">
        <v>10</v>
      </c>
      <c r="G15" s="9"/>
      <c r="H15" s="11">
        <v>200.0</v>
      </c>
    </row>
    <row r="16">
      <c r="A16" s="6" t="s">
        <v>42</v>
      </c>
      <c r="B16" s="7"/>
      <c r="C16" s="7" t="s">
        <v>43</v>
      </c>
      <c r="D16" s="19">
        <v>1850.0</v>
      </c>
      <c r="E16" s="20"/>
      <c r="F16" s="10" t="s">
        <v>10</v>
      </c>
      <c r="G16" s="20"/>
      <c r="H16" s="21">
        <v>2350.0</v>
      </c>
    </row>
    <row r="17">
      <c r="A17" s="6" t="s">
        <v>44</v>
      </c>
      <c r="B17" s="7"/>
      <c r="C17" s="7" t="s">
        <v>45</v>
      </c>
      <c r="D17" s="19">
        <v>620.0</v>
      </c>
      <c r="E17" s="9"/>
      <c r="F17" s="10" t="s">
        <v>10</v>
      </c>
      <c r="G17" s="9"/>
      <c r="H17" s="11">
        <v>1350.0</v>
      </c>
    </row>
    <row r="18">
      <c r="A18" s="6" t="s">
        <v>46</v>
      </c>
      <c r="B18" s="7"/>
      <c r="C18" s="7" t="s">
        <v>47</v>
      </c>
      <c r="D18" s="19">
        <v>320.0</v>
      </c>
      <c r="E18" s="9"/>
      <c r="F18" s="10" t="s">
        <v>10</v>
      </c>
      <c r="G18" s="9"/>
      <c r="H18" s="11">
        <v>590.0</v>
      </c>
    </row>
    <row r="19">
      <c r="A19" s="6" t="s">
        <v>48</v>
      </c>
      <c r="B19" s="7"/>
      <c r="C19" s="7" t="s">
        <v>49</v>
      </c>
      <c r="D19" s="19">
        <v>800.0</v>
      </c>
      <c r="E19" s="9"/>
      <c r="F19" s="10" t="s">
        <v>10</v>
      </c>
      <c r="G19" s="9"/>
      <c r="H19" s="15">
        <f t="shared" ref="H19:H37" si="2">D19*2</f>
        <v>1600</v>
      </c>
    </row>
    <row r="20">
      <c r="A20" s="6" t="s">
        <v>50</v>
      </c>
      <c r="B20" s="6"/>
      <c r="C20" s="6" t="s">
        <v>51</v>
      </c>
      <c r="D20" s="19">
        <v>30.0</v>
      </c>
      <c r="E20" s="20"/>
      <c r="F20" s="10" t="s">
        <v>10</v>
      </c>
      <c r="G20" s="20"/>
      <c r="H20" s="22">
        <f t="shared" si="2"/>
        <v>60</v>
      </c>
    </row>
    <row r="21">
      <c r="A21" s="6" t="s">
        <v>52</v>
      </c>
      <c r="B21" s="6"/>
      <c r="C21" s="6" t="s">
        <v>53</v>
      </c>
      <c r="D21" s="19">
        <v>70.0</v>
      </c>
      <c r="E21" s="20"/>
      <c r="F21" s="10" t="s">
        <v>10</v>
      </c>
      <c r="G21" s="20"/>
      <c r="H21" s="22">
        <f t="shared" si="2"/>
        <v>140</v>
      </c>
    </row>
    <row r="22">
      <c r="A22" s="6" t="s">
        <v>54</v>
      </c>
      <c r="B22" s="6"/>
      <c r="C22" s="6" t="s">
        <v>55</v>
      </c>
      <c r="D22" s="19">
        <v>40.0</v>
      </c>
      <c r="E22" s="20"/>
      <c r="F22" s="10" t="s">
        <v>10</v>
      </c>
      <c r="G22" s="20"/>
      <c r="H22" s="22">
        <f t="shared" si="2"/>
        <v>80</v>
      </c>
    </row>
    <row r="23">
      <c r="A23" s="6" t="s">
        <v>56</v>
      </c>
      <c r="B23" s="6"/>
      <c r="C23" s="6" t="s">
        <v>57</v>
      </c>
      <c r="D23" s="19">
        <v>160.0</v>
      </c>
      <c r="E23" s="20"/>
      <c r="F23" s="10" t="s">
        <v>10</v>
      </c>
      <c r="G23" s="20"/>
      <c r="H23" s="22">
        <f t="shared" si="2"/>
        <v>320</v>
      </c>
    </row>
    <row r="24">
      <c r="A24" s="6" t="s">
        <v>58</v>
      </c>
      <c r="B24" s="6"/>
      <c r="C24" s="6" t="s">
        <v>59</v>
      </c>
      <c r="D24" s="19">
        <v>160.0</v>
      </c>
      <c r="E24" s="20"/>
      <c r="F24" s="10" t="s">
        <v>10</v>
      </c>
      <c r="G24" s="20"/>
      <c r="H24" s="22">
        <f t="shared" si="2"/>
        <v>320</v>
      </c>
    </row>
    <row r="25">
      <c r="A25" s="6" t="s">
        <v>60</v>
      </c>
      <c r="B25" s="6"/>
      <c r="C25" s="6" t="s">
        <v>61</v>
      </c>
      <c r="D25" s="19">
        <v>160.0</v>
      </c>
      <c r="E25" s="9"/>
      <c r="F25" s="10" t="s">
        <v>10</v>
      </c>
      <c r="G25" s="9"/>
      <c r="H25" s="22">
        <f t="shared" si="2"/>
        <v>320</v>
      </c>
    </row>
    <row r="26">
      <c r="A26" s="6" t="s">
        <v>62</v>
      </c>
      <c r="B26" s="6"/>
      <c r="C26" s="6" t="s">
        <v>63</v>
      </c>
      <c r="D26" s="19">
        <v>160.0</v>
      </c>
      <c r="E26" s="9"/>
      <c r="F26" s="10" t="s">
        <v>10</v>
      </c>
      <c r="G26" s="9"/>
      <c r="H26" s="22">
        <f t="shared" si="2"/>
        <v>320</v>
      </c>
    </row>
    <row r="27">
      <c r="A27" s="6" t="s">
        <v>64</v>
      </c>
      <c r="B27" s="6"/>
      <c r="C27" s="6" t="s">
        <v>65</v>
      </c>
      <c r="D27" s="19">
        <v>160.0</v>
      </c>
      <c r="E27" s="9"/>
      <c r="F27" s="10" t="s">
        <v>10</v>
      </c>
      <c r="G27" s="9"/>
      <c r="H27" s="22">
        <f t="shared" si="2"/>
        <v>320</v>
      </c>
    </row>
    <row r="28">
      <c r="A28" s="6" t="s">
        <v>66</v>
      </c>
      <c r="B28" s="6"/>
      <c r="C28" s="6" t="s">
        <v>67</v>
      </c>
      <c r="D28" s="19">
        <v>160.0</v>
      </c>
      <c r="E28" s="9"/>
      <c r="F28" s="10" t="s">
        <v>10</v>
      </c>
      <c r="G28" s="9"/>
      <c r="H28" s="22">
        <f t="shared" si="2"/>
        <v>320</v>
      </c>
    </row>
    <row r="29">
      <c r="A29" s="6" t="s">
        <v>68</v>
      </c>
      <c r="B29" s="6"/>
      <c r="C29" s="6" t="s">
        <v>69</v>
      </c>
      <c r="D29" s="19">
        <v>120.0</v>
      </c>
      <c r="E29" s="9"/>
      <c r="F29" s="10" t="s">
        <v>10</v>
      </c>
      <c r="G29" s="9"/>
      <c r="H29" s="22">
        <f t="shared" si="2"/>
        <v>240</v>
      </c>
    </row>
    <row r="30">
      <c r="A30" s="6" t="s">
        <v>70</v>
      </c>
      <c r="B30" s="6"/>
      <c r="C30" s="6" t="s">
        <v>71</v>
      </c>
      <c r="D30" s="19">
        <v>120.0</v>
      </c>
      <c r="E30" s="9"/>
      <c r="F30" s="10" t="s">
        <v>10</v>
      </c>
      <c r="G30" s="9"/>
      <c r="H30" s="22">
        <f t="shared" si="2"/>
        <v>240</v>
      </c>
    </row>
    <row r="31">
      <c r="A31" s="6" t="s">
        <v>72</v>
      </c>
      <c r="B31" s="6"/>
      <c r="C31" s="6" t="s">
        <v>73</v>
      </c>
      <c r="D31" s="19">
        <v>120.0</v>
      </c>
      <c r="E31" s="9"/>
      <c r="F31" s="10" t="s">
        <v>10</v>
      </c>
      <c r="G31" s="9"/>
      <c r="H31" s="22">
        <f t="shared" si="2"/>
        <v>240</v>
      </c>
    </row>
    <row r="32">
      <c r="A32" s="6" t="s">
        <v>74</v>
      </c>
      <c r="B32" s="6"/>
      <c r="C32" s="6" t="s">
        <v>75</v>
      </c>
      <c r="D32" s="19">
        <v>120.0</v>
      </c>
      <c r="E32" s="16"/>
      <c r="F32" s="10" t="s">
        <v>10</v>
      </c>
      <c r="G32" s="16"/>
      <c r="H32" s="22">
        <f t="shared" si="2"/>
        <v>240</v>
      </c>
    </row>
    <row r="33">
      <c r="A33" s="6" t="s">
        <v>76</v>
      </c>
      <c r="B33" s="6"/>
      <c r="C33" s="6" t="s">
        <v>77</v>
      </c>
      <c r="D33" s="19">
        <v>120.0</v>
      </c>
      <c r="E33" s="16"/>
      <c r="F33" s="10" t="s">
        <v>10</v>
      </c>
      <c r="G33" s="16"/>
      <c r="H33" s="22">
        <f t="shared" si="2"/>
        <v>240</v>
      </c>
    </row>
    <row r="34">
      <c r="A34" s="6" t="s">
        <v>78</v>
      </c>
      <c r="B34" s="6"/>
      <c r="C34" s="6" t="s">
        <v>79</v>
      </c>
      <c r="D34" s="19">
        <v>120.0</v>
      </c>
      <c r="E34" s="16"/>
      <c r="F34" s="10" t="s">
        <v>10</v>
      </c>
      <c r="G34" s="16"/>
      <c r="H34" s="22">
        <f t="shared" si="2"/>
        <v>240</v>
      </c>
    </row>
    <row r="35">
      <c r="A35" s="6" t="s">
        <v>80</v>
      </c>
      <c r="B35" s="6"/>
      <c r="C35" s="6" t="s">
        <v>81</v>
      </c>
      <c r="D35" s="19">
        <v>120.0</v>
      </c>
      <c r="E35" s="16"/>
      <c r="F35" s="10" t="s">
        <v>10</v>
      </c>
      <c r="G35" s="16"/>
      <c r="H35" s="22">
        <f t="shared" si="2"/>
        <v>240</v>
      </c>
    </row>
    <row r="36">
      <c r="A36" s="6" t="s">
        <v>82</v>
      </c>
      <c r="B36" s="6"/>
      <c r="C36" s="6" t="s">
        <v>83</v>
      </c>
      <c r="D36" s="19">
        <v>120.0</v>
      </c>
      <c r="E36" s="16"/>
      <c r="F36" s="10" t="s">
        <v>10</v>
      </c>
      <c r="G36" s="16"/>
      <c r="H36" s="22">
        <f t="shared" si="2"/>
        <v>240</v>
      </c>
    </row>
    <row r="37">
      <c r="A37" s="6" t="s">
        <v>84</v>
      </c>
      <c r="B37" s="6"/>
      <c r="C37" s="6" t="s">
        <v>85</v>
      </c>
      <c r="D37" s="19">
        <v>120.0</v>
      </c>
      <c r="E37" s="16"/>
      <c r="F37" s="10" t="s">
        <v>10</v>
      </c>
      <c r="G37" s="16"/>
      <c r="H37" s="22">
        <f t="shared" si="2"/>
        <v>240</v>
      </c>
    </row>
    <row r="38">
      <c r="A38" s="6" t="s">
        <v>86</v>
      </c>
      <c r="B38" s="19">
        <v>7.501088596056E12</v>
      </c>
      <c r="C38" s="6" t="s">
        <v>87</v>
      </c>
      <c r="D38" s="19">
        <v>70.0</v>
      </c>
      <c r="E38" s="6"/>
      <c r="F38" s="14" t="s">
        <v>88</v>
      </c>
      <c r="G38" s="6"/>
      <c r="H38" s="14">
        <v>90.0</v>
      </c>
    </row>
    <row r="39">
      <c r="A39" s="6" t="s">
        <v>89</v>
      </c>
      <c r="B39" s="6"/>
      <c r="C39" s="6" t="s">
        <v>90</v>
      </c>
      <c r="D39" s="19">
        <v>135.0</v>
      </c>
      <c r="E39" s="6"/>
      <c r="F39" s="14" t="s">
        <v>91</v>
      </c>
      <c r="G39" s="6"/>
      <c r="H39" s="14">
        <v>250.0</v>
      </c>
    </row>
    <row r="40">
      <c r="A40" s="19">
        <v>1072437.0</v>
      </c>
      <c r="B40" s="19">
        <v>7.503019612064E12</v>
      </c>
      <c r="C40" s="6" t="s">
        <v>92</v>
      </c>
      <c r="D40" s="19">
        <v>235.0</v>
      </c>
      <c r="E40" s="6"/>
      <c r="F40" s="14" t="s">
        <v>91</v>
      </c>
      <c r="G40" s="6"/>
      <c r="H40" s="14">
        <v>350.0</v>
      </c>
    </row>
    <row r="41">
      <c r="A41" s="6" t="s">
        <v>93</v>
      </c>
      <c r="B41" s="19">
        <v>7.730997410966E12</v>
      </c>
      <c r="C41" s="6" t="s">
        <v>94</v>
      </c>
      <c r="D41" s="19">
        <v>235.0</v>
      </c>
      <c r="E41" s="6"/>
      <c r="F41" s="14" t="s">
        <v>95</v>
      </c>
      <c r="G41" s="6"/>
      <c r="H41" s="6">
        <f t="shared" ref="H41:H45" si="3">D41*2</f>
        <v>470</v>
      </c>
    </row>
    <row r="42">
      <c r="A42" s="6" t="s">
        <v>96</v>
      </c>
      <c r="B42" s="19">
        <v>7.730997410942E12</v>
      </c>
      <c r="C42" s="6" t="s">
        <v>97</v>
      </c>
      <c r="D42" s="19">
        <v>290.0</v>
      </c>
      <c r="E42" s="6"/>
      <c r="F42" s="14" t="s">
        <v>95</v>
      </c>
      <c r="G42" s="6"/>
      <c r="H42" s="6">
        <f t="shared" si="3"/>
        <v>580</v>
      </c>
    </row>
    <row r="43">
      <c r="A43" s="6" t="s">
        <v>98</v>
      </c>
      <c r="B43" s="19">
        <v>7.730997410973E12</v>
      </c>
      <c r="C43" s="6" t="s">
        <v>99</v>
      </c>
      <c r="D43" s="19">
        <v>210.0</v>
      </c>
      <c r="E43" s="6"/>
      <c r="F43" s="14" t="s">
        <v>95</v>
      </c>
      <c r="G43" s="6"/>
      <c r="H43" s="6">
        <f t="shared" si="3"/>
        <v>420</v>
      </c>
    </row>
    <row r="44">
      <c r="A44" s="6" t="s">
        <v>100</v>
      </c>
      <c r="B44" s="19">
        <v>7.730997410935E12</v>
      </c>
      <c r="C44" s="6" t="s">
        <v>101</v>
      </c>
      <c r="D44" s="19">
        <v>315.0</v>
      </c>
      <c r="E44" s="6"/>
      <c r="F44" s="14" t="s">
        <v>95</v>
      </c>
      <c r="G44" s="6"/>
      <c r="H44" s="6">
        <f t="shared" si="3"/>
        <v>630</v>
      </c>
    </row>
    <row r="45">
      <c r="A45" s="6" t="s">
        <v>102</v>
      </c>
      <c r="B45" s="6"/>
      <c r="C45" s="6" t="s">
        <v>103</v>
      </c>
      <c r="D45" s="19">
        <v>265.0</v>
      </c>
      <c r="E45" s="6"/>
      <c r="F45" s="14" t="s">
        <v>95</v>
      </c>
      <c r="G45" s="6"/>
      <c r="H45" s="6">
        <f t="shared" si="3"/>
        <v>530</v>
      </c>
    </row>
    <row r="46">
      <c r="A46" s="6" t="s">
        <v>104</v>
      </c>
      <c r="B46" s="6"/>
      <c r="C46" s="6" t="s">
        <v>105</v>
      </c>
      <c r="D46" s="19">
        <v>20.0</v>
      </c>
      <c r="E46" s="6"/>
      <c r="F46" s="10" t="s">
        <v>10</v>
      </c>
      <c r="G46" s="6"/>
      <c r="H46" s="14">
        <v>85.0</v>
      </c>
    </row>
    <row r="47">
      <c r="A47" s="6" t="s">
        <v>106</v>
      </c>
      <c r="B47" s="6"/>
      <c r="C47" s="6" t="s">
        <v>107</v>
      </c>
      <c r="D47" s="19">
        <v>20.0</v>
      </c>
      <c r="E47" s="6"/>
      <c r="F47" s="10" t="s">
        <v>10</v>
      </c>
      <c r="G47" s="6"/>
      <c r="H47" s="14">
        <v>85.0</v>
      </c>
    </row>
    <row r="48">
      <c r="A48" s="6" t="s">
        <v>108</v>
      </c>
      <c r="B48" s="6"/>
      <c r="C48" s="6" t="s">
        <v>109</v>
      </c>
      <c r="D48" s="19">
        <v>15.0</v>
      </c>
      <c r="E48" s="6"/>
      <c r="F48" s="10" t="s">
        <v>10</v>
      </c>
      <c r="G48" s="6"/>
      <c r="H48" s="14">
        <v>35.0</v>
      </c>
    </row>
    <row r="49">
      <c r="A49" s="6" t="s">
        <v>110</v>
      </c>
      <c r="B49" s="6"/>
      <c r="C49" s="6" t="s">
        <v>111</v>
      </c>
      <c r="D49" s="19">
        <v>350.0</v>
      </c>
      <c r="E49" s="6"/>
      <c r="F49" s="10" t="s">
        <v>10</v>
      </c>
      <c r="G49" s="6"/>
      <c r="H49" s="6">
        <f t="shared" ref="H49:H50" si="4">D49*2</f>
        <v>700</v>
      </c>
    </row>
    <row r="50">
      <c r="A50" s="6" t="s">
        <v>112</v>
      </c>
      <c r="B50" s="6"/>
      <c r="C50" s="6" t="s">
        <v>113</v>
      </c>
      <c r="D50" s="19">
        <v>20.0</v>
      </c>
      <c r="E50" s="6"/>
      <c r="F50" s="10" t="s">
        <v>10</v>
      </c>
      <c r="G50" s="6"/>
      <c r="H50" s="6">
        <f t="shared" si="4"/>
        <v>40</v>
      </c>
    </row>
    <row r="51">
      <c r="A51" s="6" t="s">
        <v>114</v>
      </c>
      <c r="B51" s="19">
        <v>8.859387702937E12</v>
      </c>
      <c r="C51" s="6" t="s">
        <v>115</v>
      </c>
      <c r="D51" s="19">
        <v>610.0</v>
      </c>
      <c r="E51" s="6"/>
      <c r="F51" s="14" t="s">
        <v>13</v>
      </c>
      <c r="G51" s="6"/>
      <c r="H51" s="14">
        <v>850.0</v>
      </c>
    </row>
    <row r="52">
      <c r="A52" s="6" t="s">
        <v>116</v>
      </c>
      <c r="B52" s="19">
        <v>8.859716305457E12</v>
      </c>
      <c r="C52" s="6" t="s">
        <v>117</v>
      </c>
      <c r="D52" s="14">
        <v>750.0</v>
      </c>
      <c r="E52" s="6"/>
      <c r="F52" s="14" t="s">
        <v>118</v>
      </c>
      <c r="G52" s="6"/>
      <c r="H52" s="6">
        <f>50*25</f>
        <v>1250</v>
      </c>
    </row>
    <row r="53">
      <c r="A53" s="6" t="s">
        <v>119</v>
      </c>
      <c r="B53" s="19">
        <v>8.10100850302E11</v>
      </c>
      <c r="C53" s="6" t="s">
        <v>120</v>
      </c>
      <c r="D53" s="19">
        <v>52.5</v>
      </c>
      <c r="E53" s="6"/>
      <c r="F53" s="14" t="s">
        <v>13</v>
      </c>
      <c r="G53" s="6"/>
      <c r="H53" s="14">
        <v>85.0</v>
      </c>
    </row>
    <row r="54">
      <c r="A54" s="6" t="s">
        <v>121</v>
      </c>
      <c r="B54" s="19">
        <v>8.10100851453E11</v>
      </c>
      <c r="C54" s="6" t="s">
        <v>122</v>
      </c>
      <c r="D54" s="19">
        <v>50.0</v>
      </c>
      <c r="E54" s="6"/>
      <c r="F54" s="14" t="s">
        <v>13</v>
      </c>
      <c r="G54" s="6"/>
      <c r="H54" s="14">
        <v>85.0</v>
      </c>
    </row>
    <row r="55">
      <c r="A55" s="6" t="s">
        <v>123</v>
      </c>
      <c r="B55" s="6"/>
      <c r="C55" s="6" t="s">
        <v>124</v>
      </c>
      <c r="D55" s="14">
        <v>50.0</v>
      </c>
      <c r="E55" s="6"/>
      <c r="F55" s="14" t="s">
        <v>13</v>
      </c>
      <c r="G55" s="6"/>
      <c r="H55" s="14">
        <v>85.0</v>
      </c>
    </row>
    <row r="56">
      <c r="A56" s="6" t="s">
        <v>125</v>
      </c>
      <c r="B56" s="6"/>
      <c r="C56" s="6" t="s">
        <v>126</v>
      </c>
      <c r="D56" s="14">
        <v>50.0</v>
      </c>
      <c r="E56" s="6"/>
      <c r="F56" s="14" t="s">
        <v>13</v>
      </c>
      <c r="G56" s="6"/>
      <c r="H56" s="14">
        <v>85.0</v>
      </c>
    </row>
    <row r="57">
      <c r="A57" s="6" t="s">
        <v>127</v>
      </c>
      <c r="B57" s="6"/>
      <c r="C57" s="6" t="s">
        <v>128</v>
      </c>
      <c r="D57" s="19">
        <v>545.0</v>
      </c>
      <c r="E57" s="6"/>
      <c r="F57" s="14" t="s">
        <v>129</v>
      </c>
      <c r="G57" s="6"/>
      <c r="H57" s="14">
        <v>650.0</v>
      </c>
    </row>
    <row r="58">
      <c r="A58" s="6" t="s">
        <v>130</v>
      </c>
      <c r="B58" s="19">
        <v>7.502281120949E12</v>
      </c>
      <c r="C58" s="6" t="s">
        <v>131</v>
      </c>
      <c r="D58" s="19">
        <v>9.5</v>
      </c>
      <c r="E58" s="6"/>
      <c r="F58" s="14" t="s">
        <v>129</v>
      </c>
      <c r="G58" s="6"/>
      <c r="H58" s="14">
        <v>15.0</v>
      </c>
    </row>
    <row r="59">
      <c r="A59" s="6" t="s">
        <v>132</v>
      </c>
      <c r="B59" s="19">
        <v>7.502281120963E12</v>
      </c>
      <c r="C59" s="6" t="s">
        <v>133</v>
      </c>
      <c r="D59" s="19">
        <v>9.5</v>
      </c>
      <c r="E59" s="6"/>
      <c r="F59" s="14" t="s">
        <v>129</v>
      </c>
      <c r="G59" s="6"/>
      <c r="H59" s="14">
        <v>15.0</v>
      </c>
    </row>
    <row r="60">
      <c r="A60" s="6" t="s">
        <v>134</v>
      </c>
      <c r="B60" s="19">
        <v>7.50228112097E12</v>
      </c>
      <c r="C60" s="6" t="s">
        <v>135</v>
      </c>
      <c r="D60" s="19">
        <v>9.5</v>
      </c>
      <c r="E60" s="6"/>
      <c r="F60" s="14" t="s">
        <v>129</v>
      </c>
      <c r="G60" s="6"/>
      <c r="H60" s="14">
        <v>15.0</v>
      </c>
    </row>
    <row r="61">
      <c r="A61" s="6" t="s">
        <v>136</v>
      </c>
      <c r="B61" s="6"/>
      <c r="C61" s="6" t="s">
        <v>137</v>
      </c>
      <c r="D61" s="19">
        <v>175.0</v>
      </c>
      <c r="E61" s="6"/>
      <c r="F61" s="14" t="s">
        <v>138</v>
      </c>
      <c r="G61" s="6"/>
      <c r="H61" s="6">
        <f t="shared" ref="H61:H63" si="5">D61*2</f>
        <v>350</v>
      </c>
    </row>
    <row r="62">
      <c r="A62" s="6" t="s">
        <v>139</v>
      </c>
      <c r="B62" s="6"/>
      <c r="C62" s="6" t="s">
        <v>140</v>
      </c>
      <c r="D62" s="19">
        <v>180.0</v>
      </c>
      <c r="E62" s="6"/>
      <c r="F62" s="14" t="s">
        <v>141</v>
      </c>
      <c r="G62" s="6"/>
      <c r="H62" s="6">
        <f t="shared" si="5"/>
        <v>360</v>
      </c>
    </row>
    <row r="63">
      <c r="A63" s="6" t="s">
        <v>142</v>
      </c>
      <c r="B63" s="6"/>
      <c r="C63" s="6" t="s">
        <v>143</v>
      </c>
      <c r="D63" s="19">
        <v>160.0</v>
      </c>
      <c r="E63" s="6"/>
      <c r="F63" s="14" t="s">
        <v>141</v>
      </c>
      <c r="G63" s="6"/>
      <c r="H63" s="6">
        <f t="shared" si="5"/>
        <v>320</v>
      </c>
    </row>
    <row r="64">
      <c r="A64" s="6" t="s">
        <v>144</v>
      </c>
      <c r="B64" s="6"/>
      <c r="C64" s="6" t="s">
        <v>145</v>
      </c>
      <c r="D64" s="19">
        <v>160.0</v>
      </c>
      <c r="E64" s="6"/>
      <c r="F64" s="14" t="s">
        <v>88</v>
      </c>
      <c r="G64" s="6"/>
      <c r="H64" s="14">
        <v>250.0</v>
      </c>
    </row>
    <row r="65">
      <c r="A65" s="6" t="s">
        <v>146</v>
      </c>
      <c r="B65" s="19">
        <v>8.10833020003E11</v>
      </c>
      <c r="C65" s="6" t="s">
        <v>147</v>
      </c>
      <c r="D65" s="19">
        <v>88.0</v>
      </c>
      <c r="E65" s="6"/>
      <c r="F65" s="14" t="s">
        <v>10</v>
      </c>
      <c r="G65" s="6"/>
      <c r="H65" s="14">
        <v>110.0</v>
      </c>
    </row>
    <row r="66">
      <c r="A66" s="6" t="s">
        <v>148</v>
      </c>
      <c r="B66" s="19">
        <v>8.92383002104E11</v>
      </c>
      <c r="C66" s="6" t="s">
        <v>149</v>
      </c>
      <c r="D66" s="19">
        <v>88.0</v>
      </c>
      <c r="E66" s="6"/>
      <c r="F66" s="14" t="s">
        <v>10</v>
      </c>
      <c r="G66" s="6"/>
      <c r="H66" s="14">
        <v>110.0</v>
      </c>
    </row>
    <row r="67">
      <c r="A67" s="6" t="s">
        <v>150</v>
      </c>
      <c r="B67" s="19">
        <v>7.502281121007E12</v>
      </c>
      <c r="C67" s="6" t="s">
        <v>151</v>
      </c>
      <c r="D67" s="19">
        <v>9.5</v>
      </c>
      <c r="E67" s="6"/>
      <c r="F67" s="14" t="s">
        <v>152</v>
      </c>
      <c r="G67" s="6"/>
      <c r="H67" s="14">
        <v>15.0</v>
      </c>
    </row>
    <row r="68">
      <c r="A68" s="6" t="s">
        <v>153</v>
      </c>
      <c r="B68" s="19">
        <v>7.502281121014E12</v>
      </c>
      <c r="C68" s="6" t="s">
        <v>154</v>
      </c>
      <c r="D68" s="19">
        <v>9.5</v>
      </c>
      <c r="E68" s="6"/>
      <c r="F68" s="14" t="s">
        <v>152</v>
      </c>
      <c r="G68" s="6"/>
      <c r="H68" s="14">
        <v>15.0</v>
      </c>
    </row>
    <row r="69">
      <c r="A69" s="6" t="s">
        <v>155</v>
      </c>
      <c r="B69" s="19">
        <v>7.502281120987E12</v>
      </c>
      <c r="C69" s="6" t="s">
        <v>156</v>
      </c>
      <c r="D69" s="19">
        <v>9.5</v>
      </c>
      <c r="E69" s="6"/>
      <c r="F69" s="14" t="s">
        <v>152</v>
      </c>
      <c r="G69" s="6"/>
      <c r="H69" s="14">
        <v>15.0</v>
      </c>
    </row>
    <row r="70">
      <c r="A70" s="6" t="s">
        <v>157</v>
      </c>
      <c r="B70" s="6"/>
      <c r="C70" s="6" t="s">
        <v>158</v>
      </c>
      <c r="D70" s="19">
        <v>30.0</v>
      </c>
      <c r="E70" s="6"/>
      <c r="F70" s="14" t="s">
        <v>10</v>
      </c>
      <c r="G70" s="6"/>
      <c r="H70" s="14">
        <v>65.0</v>
      </c>
    </row>
    <row r="71">
      <c r="A71" s="6" t="s">
        <v>159</v>
      </c>
      <c r="B71" s="6"/>
      <c r="C71" s="6" t="s">
        <v>160</v>
      </c>
      <c r="D71" s="19">
        <v>10.0</v>
      </c>
      <c r="E71" s="6"/>
      <c r="F71" s="14" t="s">
        <v>10</v>
      </c>
      <c r="G71" s="6"/>
      <c r="H71" s="14">
        <v>35.0</v>
      </c>
    </row>
    <row r="72">
      <c r="A72" s="6" t="s">
        <v>161</v>
      </c>
      <c r="B72" s="6"/>
      <c r="C72" s="6" t="s">
        <v>162</v>
      </c>
      <c r="D72" s="19">
        <v>11.0</v>
      </c>
      <c r="E72" s="6"/>
      <c r="F72" s="14" t="s">
        <v>10</v>
      </c>
      <c r="G72" s="6"/>
      <c r="H72" s="14">
        <v>25.0</v>
      </c>
    </row>
    <row r="73">
      <c r="A73" s="6" t="s">
        <v>163</v>
      </c>
      <c r="B73" s="6"/>
      <c r="C73" s="6" t="s">
        <v>164</v>
      </c>
      <c r="D73" s="19">
        <v>21.0</v>
      </c>
      <c r="E73" s="6"/>
      <c r="F73" s="14" t="s">
        <v>10</v>
      </c>
      <c r="G73" s="6"/>
      <c r="H73" s="14">
        <v>45.0</v>
      </c>
    </row>
    <row r="74">
      <c r="A74" s="6" t="s">
        <v>165</v>
      </c>
      <c r="B74" s="6"/>
      <c r="C74" s="6" t="s">
        <v>166</v>
      </c>
      <c r="D74" s="19">
        <v>11.0</v>
      </c>
      <c r="E74" s="6"/>
      <c r="F74" s="14" t="s">
        <v>10</v>
      </c>
      <c r="G74" s="6"/>
      <c r="H74" s="14">
        <v>25.0</v>
      </c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</sheetData>
  <drawing r:id="rId2"/>
  <legacyDrawing r:id="rId3"/>
</worksheet>
</file>