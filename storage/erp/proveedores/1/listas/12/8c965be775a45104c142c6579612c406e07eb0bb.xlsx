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Hoja1!$A$1:$E$807</definedName>
  </definedNames>
  <calcPr/>
</workbook>
</file>

<file path=xl/sharedStrings.xml><?xml version="1.0" encoding="utf-8"?>
<sst xmlns="http://schemas.openxmlformats.org/spreadsheetml/2006/main" count="1479" uniqueCount="1453">
  <si>
    <t>Codigo</t>
  </si>
  <si>
    <t>descripcion</t>
  </si>
  <si>
    <t>piezas por caja</t>
  </si>
  <si>
    <t>costo</t>
  </si>
  <si>
    <t>publico</t>
  </si>
  <si>
    <t>SFF-01</t>
  </si>
  <si>
    <t>ALIMENTO SUNNY IMPORTADO TURTLE BITES  90g (by TROPICAL)</t>
  </si>
  <si>
    <t>SFF-02</t>
  </si>
  <si>
    <t>ALIMENTO SUNNY IMPORTADO TURTLE STICKS  70g (by TROPICAL)</t>
  </si>
  <si>
    <t>SFF-03</t>
  </si>
  <si>
    <t>ALIMENTO SUNNY IMPORTADO GOLDFISH PELLETS FLOTANTES 90g (by TROPICAL)</t>
  </si>
  <si>
    <t>SFF-04</t>
  </si>
  <si>
    <t>ALIMENTO SUNNY IMPORTADO TROPICAL GRANULADO 90g (by TROPICAL)</t>
  </si>
  <si>
    <t>SFF-06</t>
  </si>
  <si>
    <t>ALIMENTO SUNNY IMPORTADO GOLDFISH COLOR MIX 90g (by TROPICAL)</t>
  </si>
  <si>
    <t>SFF-07</t>
  </si>
  <si>
    <t>ALIMENTO SUNNY IMPORTADO TROPICAL GRANULADO COLOR MIX 90g (by TROPICAL)</t>
  </si>
  <si>
    <t>SFF-08</t>
  </si>
  <si>
    <t>ALIMENTO SUNNY IMPORTADO SPIRULINA GOLDFISH 90g (by TROPICAL)</t>
  </si>
  <si>
    <t>SFF-09</t>
  </si>
  <si>
    <t>ALIMENTO SUNNY IMPORTADO SPIRULINA TROPICAL GRANULADO 90g (by TROPICAL)</t>
  </si>
  <si>
    <t>SFF-10</t>
  </si>
  <si>
    <t>ALIMENTO SUNNY IMPORTADO GOLDFISH GARLIC 90g (by TROPICAL)</t>
  </si>
  <si>
    <t>SFF-11</t>
  </si>
  <si>
    <t>ALIMENTO SUNNY IMPORTADO TROPICAL GRANULADO CON GARLIC 90g (by TROPICAL)</t>
  </si>
  <si>
    <t>SFF-12</t>
  </si>
  <si>
    <t>ALIMENTO SUNNY IMPORTADO CICHLIDOS 90g (by TROPICAL)</t>
  </si>
  <si>
    <t>SFF-13</t>
  </si>
  <si>
    <t>ALIMENTO SUNNY IMPORTADO ALGA WAFERS 70g (by TROPICAL)</t>
  </si>
  <si>
    <t>SFF-14</t>
  </si>
  <si>
    <t>ALIMENTO SUNNY IMPORTADO TURTLE STICK BABY 70g (by TROPICAL)</t>
  </si>
  <si>
    <t>SFF-301</t>
  </si>
  <si>
    <t>ALIMENTO SUNNY IMPORTADO TURTLE BITES  300g (by TROPICAL)</t>
  </si>
  <si>
    <t>SFF-302</t>
  </si>
  <si>
    <t>ALIMENTO SUNNY IMPORTADO TURTLE STICKS  300g (by TROPICAL)</t>
  </si>
  <si>
    <t>SFF-303</t>
  </si>
  <si>
    <t>ALIMENTO SUNNY IMPORTADO GOLDFISH PELLETS FLOTANTES 300g (by TROPICAL)</t>
  </si>
  <si>
    <t>SFF-304</t>
  </si>
  <si>
    <t>ALIMENTO SUNNY IMPORTADO TROPICAL GRANULADO 300g (by TROPICAL)</t>
  </si>
  <si>
    <t>SFF-305</t>
  </si>
  <si>
    <t>ALIMENTO SUNNY IMPORTADO IGUANA STICKS 300g (by TROPICAL)</t>
  </si>
  <si>
    <t>SFF-306</t>
  </si>
  <si>
    <t>ALIMENTO SUNNY IMPORTADO GOLDFISH COLOR MIX 300g (by TROPICAL)</t>
  </si>
  <si>
    <t>SFF-307</t>
  </si>
  <si>
    <t>ALIMENTO SUNNY IMPORTADO TROPICAL GRANULADO COLOR MIX 300g (by TROPICAL)</t>
  </si>
  <si>
    <t>SFF-308</t>
  </si>
  <si>
    <t>ALIMENTO SUNNY IMPORTADO SPIRULINA GOLDFISH 300g (by TROPICAL)</t>
  </si>
  <si>
    <t>SFF-309</t>
  </si>
  <si>
    <t>ALIMENTO SUNNY IMPORTADO SPIRULINA TROPICAL GRANULADO 300g (by TROPICAL)</t>
  </si>
  <si>
    <t>SFF-310</t>
  </si>
  <si>
    <t>ALIMENTO SUNNY IMPORTADO GOLDFISH GARLIC 300g (by TROPICAL)</t>
  </si>
  <si>
    <t>SFF-311</t>
  </si>
  <si>
    <t>ALIMENTO SUNNY IMPORTADO TROPICAL GRANULADO CON GARLIC 300g (by TROPICAL)</t>
  </si>
  <si>
    <t>SFF-312</t>
  </si>
  <si>
    <t>ALIMENTO SUNNY IMPORTADO CICHLIDOS 300g (by TROPICAL)</t>
  </si>
  <si>
    <t>SFF-313</t>
  </si>
  <si>
    <t>ALIMENTO SUNNY IMPORTADO ALGA WAFERS 300g (by TROPICAL)</t>
  </si>
  <si>
    <t>SFF-314</t>
  </si>
  <si>
    <t>ALIMENTO SUNNY IMPORTADO TURTLE STICK BABY 300g (by TROPICAL)</t>
  </si>
  <si>
    <t>TP-3501</t>
  </si>
  <si>
    <t>ALIMENTO SUNNY IMPORTADO HOJUELAS BASICAS TROPICALES 10g (by TROPICAL)</t>
  </si>
  <si>
    <t>TP-3502</t>
  </si>
  <si>
    <t>ALIMENTO SUNNY IMPORTADO HOJUELAS BASICAS TROPICALES 20g (by TROPICAL)</t>
  </si>
  <si>
    <t>TP-3503</t>
  </si>
  <si>
    <r>
      <rPr>
        <rFont val="Tahoma"/>
        <color theme="1"/>
        <sz val="9.0"/>
      </rPr>
      <t xml:space="preserve">ALIMENTO SUNNY IMPORTADO HOJUELAS BASICAS TROPICALES 30g (by TROPICAL) </t>
    </r>
    <r>
      <rPr>
        <rFont val="Tahoma"/>
        <color theme="1"/>
        <sz val="8.0"/>
      </rPr>
      <t xml:space="preserve"> (10% producto extra)</t>
    </r>
  </si>
  <si>
    <t>TP-3504</t>
  </si>
  <si>
    <r>
      <rPr>
        <rFont val="Tahoma"/>
        <color theme="1"/>
        <sz val="9.0"/>
      </rPr>
      <t xml:space="preserve">ALIMENTO SUNNY IMPORTADO HOJUELAS BASICAS TROPICALES 100g (by TROPICAL)  </t>
    </r>
    <r>
      <rPr>
        <rFont val="Tahoma"/>
        <color theme="1"/>
        <sz val="8.0"/>
      </rPr>
      <t>(20% producto extra)</t>
    </r>
  </si>
  <si>
    <t>TP-3510</t>
  </si>
  <si>
    <t>ALIMENTO SUNNY IMPORTADO BETTA HI- PROTEIN (42%) KRILL FLAVOURED 10g (by TROPICAL)</t>
  </si>
  <si>
    <t>PREMIUM TIMOTHY HAY STANDLEE 18oz (510G)                   MADE IN USA</t>
  </si>
  <si>
    <t>PREMIUM TIMOTHY HAY STANDLEE 48oz (1.36kg)                 MADE IN USA</t>
  </si>
  <si>
    <t>PREMIUM TIMOTHY HAY STANDLEE 20lb (9kg) 36 bolsas de 250g   MADE IN USA</t>
  </si>
  <si>
    <t>PREMIUM ALFALFA HAY STANDLEE 24oz (680g)                     MADE IN USA</t>
  </si>
  <si>
    <t>TP-3740</t>
  </si>
  <si>
    <t>ALIMENTO  SUNNY by TROPIFIT IMP P/ HAMSTER 500g (frutas, vegetales, semillas y cereales enteros)</t>
  </si>
  <si>
    <t>TP-3741</t>
  </si>
  <si>
    <t>ALIMENTO  SUNNY by TROPIFIT IMP P/ HAMSTER 1000g (frutas, vegetales, semillas y cereales enteros )</t>
  </si>
  <si>
    <t>TP-3742</t>
  </si>
  <si>
    <t>ALIMENTO  SUNNY by TROPIFIT IMP P/ CUYO 500g (frutas, vegetales, semillas y cereales enteros)</t>
  </si>
  <si>
    <t>TP-3743</t>
  </si>
  <si>
    <t>ALIMENTO  SUNNY by TROPIFIT IMP P/ CUYO 1000g (frutas, vegetales, semillas y cereales enteros)</t>
  </si>
  <si>
    <t>TP-3744</t>
  </si>
  <si>
    <t>ALIMENTO  SUNNY by TROPIFIT IMP P/ CONEJOS 1000g (frutas, vegetales, semillas y cereales enteros)</t>
  </si>
  <si>
    <t>TP-3745</t>
  </si>
  <si>
    <t>ALIMENTO  SUNNY by TROPIFIT IMP P/ CONEJOS 500g (frutas, vegetales, semillas y cereales enteros)</t>
  </si>
  <si>
    <t>TP-53111</t>
  </si>
  <si>
    <t>ALIMENTO TROPIFIT PREMIUM HAMSTER 500g</t>
  </si>
  <si>
    <t>TP-53121</t>
  </si>
  <si>
    <t>ALIMENTO TROPIFIT PREMIUM GUINEA PIG (CUYO) 500g</t>
  </si>
  <si>
    <t>TP-53131</t>
  </si>
  <si>
    <t>ALIMENTO TROPIFIT PREMIUM RABBIT 500g</t>
  </si>
  <si>
    <t>TP-53141</t>
  </si>
  <si>
    <t>ALIMENTO TROPIFIT PREMIUM CHINCHILLA 500g</t>
  </si>
  <si>
    <t>TP-50412</t>
  </si>
  <si>
    <t>ALIMENTO TROPIFIT PREMIUM PLUS HAMSTER 750g</t>
  </si>
  <si>
    <t>TP-50422</t>
  </si>
  <si>
    <t>ALIMENTO TROPIFIT PREMIUM PLUS CAVIA (CUYO) 750g</t>
  </si>
  <si>
    <t>TP-50432</t>
  </si>
  <si>
    <t>ALIMENTO TROPIFIT PREMIUM PLUS RABBIT JUNIOR 750g</t>
  </si>
  <si>
    <t>TP-50442</t>
  </si>
  <si>
    <t>ALIMENTO TROPIFIT PREMIUM PLUS RABBIT ADULT 750g</t>
  </si>
  <si>
    <t>TP-50462</t>
  </si>
  <si>
    <t>ALIMENTO TROPIFIT PREMIUM PLUS CHINCHILLA 750g</t>
  </si>
  <si>
    <t>TP-7837</t>
  </si>
  <si>
    <t>ALIMENTO IMPORTADO MONTE VERDE PARA CANARIOS, FINCHES Y EXOTICOS 500g (by SUNNY-TROPIFIT)</t>
  </si>
  <si>
    <t>TP-7838</t>
  </si>
  <si>
    <t>ALIMENTO IMPORTADO MONTE VERDE PARA PERIQUITOS AUSTRALIANOS 500g (by SUNNY-TROPIFIT)</t>
  </si>
  <si>
    <t>TP-7839</t>
  </si>
  <si>
    <t>ALIMENTO IMPORTADO MONTE VERDE PARA NINFAS Y AGAPORNIS 500g (by SUNNY-TROPIFIT)</t>
  </si>
  <si>
    <t>TP-7840</t>
  </si>
  <si>
    <t>ALIMENTO IMPORTADO MONTE VERDE PARA CACATUAS, LOROS Y GUACAMAYAS   500g (by SUNNY-TROPIFIT)</t>
  </si>
  <si>
    <t>TP-52321</t>
  </si>
  <si>
    <t>ALIMENTO IMPORTADO TROPIFIT COCKATIEL 700g</t>
  </si>
  <si>
    <t>TP-52331</t>
  </si>
  <si>
    <t>ALIMENTO IMPORTADO TROPIFIT BUDGIE 700g</t>
  </si>
  <si>
    <t>TP-52341</t>
  </si>
  <si>
    <t>ALIMENTO IMPORTADO TROPIFIT CANARY 700g</t>
  </si>
  <si>
    <t>TP-52351</t>
  </si>
  <si>
    <t>ALIMENTO IMPORTADO TROPIFIT EXOTEN 700g</t>
  </si>
  <si>
    <t>TP-52363</t>
  </si>
  <si>
    <t>ALIMENTO IMPORTADO TROPIFIT PARROT 1kg</t>
  </si>
  <si>
    <t>SP-3431</t>
  </si>
  <si>
    <t>TINNY CHUMS SET DE VINIL COMIDA 4pcs C/SONIDO TIPO SQUEAKY  SHARPAW by SUNNY</t>
  </si>
  <si>
    <t>SP-3432</t>
  </si>
  <si>
    <t>TINNY CHUMS SET DE VINIL ANIMALES ACUATICOS 4pcs C/SONIDO TIPO SQUEAKY SHARPAW by SUNNY</t>
  </si>
  <si>
    <t>SP-3433</t>
  </si>
  <si>
    <t>TINNY CHUMS SET DE VINIL HUESOS Y PELOTAS 4pcs C/SONIDO TIPO SQUEAKY SHARPAW by SUNNY</t>
  </si>
  <si>
    <t>SP-3434</t>
  </si>
  <si>
    <t>TINNY CHUMS SET DE VINIL ARTICULOS P/HOGAR 4pcs C/SONIDO TIPO SQUEAKY SHARPAW by SUNNY</t>
  </si>
  <si>
    <t>SP-3435</t>
  </si>
  <si>
    <t>TINNY CHUMS SET DE VINIL HALLOWEEN 4pcs C/SONIDO TIPO SQUEAKY SHARPAW by SUNNY</t>
  </si>
  <si>
    <t>SP-3436</t>
  </si>
  <si>
    <t>SP-3437</t>
  </si>
  <si>
    <t>TINNY CHUMS SET DE VINIL NAVIDAD 4PCS C/SONIDO TIPO SQUEAKY  SHARPAW by SUNNY</t>
  </si>
  <si>
    <t>SP-3438</t>
  </si>
  <si>
    <t>TINNY CHUMS SET DE VINIL NAVIDAD 4PCS C/SONIDO TIPO SQUEAKY SHARPAW by SUNNY</t>
  </si>
  <si>
    <t>SP-3439</t>
  </si>
  <si>
    <t>FLUFFY CHUMS JUGUETE DE PELUCHE CON SONIDO TIPO SQUEAKY ESTILO HAMBURGUESA 11cm SHARPAW by SUNNY</t>
  </si>
  <si>
    <t>SP-3440</t>
  </si>
  <si>
    <t>FLUFFY CHUMS JUGUETE DE PELUCHE CON SONIDO TIPO SQUEAKY ESTILO PIZZA 17cm SHARPAW by SUNNY</t>
  </si>
  <si>
    <t>SP-3441</t>
  </si>
  <si>
    <t>FLUFFY CHUMS JUGUETE DE PELUCHE CON SONIDO TIPO SQUEAKY ESTILO PIERNA DE POLLO 17.5cm SHARPAW by SUNNY</t>
  </si>
  <si>
    <t>SP-3442</t>
  </si>
  <si>
    <t>FLUFFY CHUMS JUGUETE DE PELUCHE CON SONIDO TIPO SQUEAKY ESTILO PAPAS A LA FRANCESA  16cm SHARPAW by SUNNY</t>
  </si>
  <si>
    <t>SP-3443</t>
  </si>
  <si>
    <t>FLUFFY CHUMS JUGUETE DE PELUCHE CON SONIDO TIPO SQUEAKY ESTILO POLLO ROSTIZADO 18cm SHARPAW by SUNNY</t>
  </si>
  <si>
    <t>SP-3444</t>
  </si>
  <si>
    <t>FLUFFY CHUMS JUGUETE DE PELUCHE CON SONIDO TIPO SQUEAKY ESTILO DONA DE FRESA 13cm SHARPAW by SUNNY</t>
  </si>
  <si>
    <t>SP-3445</t>
  </si>
  <si>
    <t>FLUFFY CHUMS JUGUETE DE PELUCHE CON SONIDO TIPO SQUEAKY ESTILO DONA DE CHOCOLATE 13cm SHARPAW by SUNNY</t>
  </si>
  <si>
    <t>SP-3446</t>
  </si>
  <si>
    <t>FLUFFY CHUMS JUGUETE DE PELUCHE CON SONIDO TIPO SQUEAKY ESTILO CONO DE NIEVE DE FRESA 21cm SHARPAW by SUNNY</t>
  </si>
  <si>
    <t>SP-3447</t>
  </si>
  <si>
    <t>FLUFFY CHUMS JUGUETE DE PELUCHE CON SONIDO TIPO SQUEAKY ESTILO ZANAHORIA 19cm SHARPAW by SUNNY</t>
  </si>
  <si>
    <t>SP-3448</t>
  </si>
  <si>
    <t>FLUFFY CHUMS JUGUETE DE PELUCHE CON SONIDO TIPO SQUEAKY ESTILO TARRO DE CERVEZA 14cm SHARPAW by SUNNY</t>
  </si>
  <si>
    <t>SP-3449</t>
  </si>
  <si>
    <t>FLUFFY CHUMS JUGUETE DE PELUCHE CON SONIDO TIPO SQUEAKY ESTILO PALETA DE HIELO 18cm SHARPAW by SUNNY</t>
  </si>
  <si>
    <t>SP-3450</t>
  </si>
  <si>
    <t>FLUFFY CHUMS JUGUETE DE PELUCHE CON SONIDO TIPO SQUEAKY ESTILO HOT-DOG 17cm SHARPAW by SUNNY</t>
  </si>
  <si>
    <t>SP-3451</t>
  </si>
  <si>
    <t>FLUFFY CHUMS JUGUETE DE PELUCHE CON SONIDO TIPO SQUEAKY ESTILO PALOMITAS 13cm SHARPAW by SUNNY</t>
  </si>
  <si>
    <t>SP-3452</t>
  </si>
  <si>
    <t>FLUFFY CHUMS JUGUETE DE PELUCHE CON SONIDO TIPO SQUEAKY ESTILO PERA 18cm SHARPAW by SUNNY</t>
  </si>
  <si>
    <t>SP-3453</t>
  </si>
  <si>
    <t>FLUFFY CHUMS JUGUETE DE PELUCHE CON SONIDO TIPO SQUEAKY ESTILO NARANJA 16cm SHARPAW by SUNNY</t>
  </si>
  <si>
    <t>SP-3454</t>
  </si>
  <si>
    <t>FLUFFY CHUMS JUGUETE DE PELUCHE CON SONIDO TIPO SQUEAKY ESTILO SANDIA 14cm SHARPAW by SUNNY</t>
  </si>
  <si>
    <t>SP-3455</t>
  </si>
  <si>
    <t>FLUFFY CHUMS JUGUETE DE PELUCHE CON SONIDO TIPO SQUEAKY ESTILO AGUACATE 17cm SHARPAW by SUNNY</t>
  </si>
  <si>
    <t>SP-3456</t>
  </si>
  <si>
    <t>FLUFFY CHUMS JUGUETE DE PELUCHE CON SONIDO TIPO SQUEAKY ESTILO FRUTA DEL DRAGON 21cm SHARPAW by SUNNY</t>
  </si>
  <si>
    <t>SP-3457</t>
  </si>
  <si>
    <t>FLUFFY CHUMS JUGUETE DE PELUCHE CON SONIDO TIPO SQUEAKY ESTILO PIÑA TROPICAL 24cm SHARPAW by SUNNY</t>
  </si>
  <si>
    <t>SP-3458</t>
  </si>
  <si>
    <t>FLUFFY CHUMS JUGUETE DE PELUCHE CON SONIDO TIPO SQUEAKY ESTILO MELON 14cm SHARPAW by SUNNY</t>
  </si>
  <si>
    <t>SP-3459</t>
  </si>
  <si>
    <t>FLUFFY CHUMS JUGUETE DE PELUCHE CON SONIDO TIPO SQUEAKY ESTILO FRESA 21cm SHARPAW by SUNNY</t>
  </si>
  <si>
    <t>SP-3460</t>
  </si>
  <si>
    <t>FLUFFY CHUMS JUGUETE DE PELUCHE CON SONIDO TIPO SQUEAKY ESTILO BANANA 23cm SHARPAW by SUNNY</t>
  </si>
  <si>
    <t>SP-3461</t>
  </si>
  <si>
    <t>FLUFFY CHUMS JUGUETE DE PELUCHE CON SONIDO TIPO SQUEAKY ESTILO PIÑA GOLDEN 20cm SHARPAW by SUNNY</t>
  </si>
  <si>
    <t>SP-3462</t>
  </si>
  <si>
    <t>FLUFFY CHUMS JUGUETE DE PELUCHE CON SONIDO TIPO SQUEAKY ESTILO MANZANA ROJA 16cm SHARPAW by SUNNY</t>
  </si>
  <si>
    <t>SP-3463</t>
  </si>
  <si>
    <t>FLUFFY CHUMS JUGUETE DE PELUCHE CON SONIDO TIPO SQUEAKY ESTILO CHIHARO 24cm SHARPAW by SUNNY</t>
  </si>
  <si>
    <t>SP-3464</t>
  </si>
  <si>
    <t>FLUFFY CHUMS JUGUETE DE PELUCHE CON SONIDO TIPO SQUEAKY ESTILO ELOTE (ESQUITE) 22.5cm SHARPAW by SUNNY</t>
  </si>
  <si>
    <t>SP-3465</t>
  </si>
  <si>
    <t>FLUFFY CHUMS JUGUETE DE PELUCHE CON SONIDO TIPO SQUEAKY ESTILO CHILE ROJO 25cm SHARPAW by SUNNY</t>
  </si>
  <si>
    <t>SP-3466</t>
  </si>
  <si>
    <t>FLUFFY CHUMS JUGUETE DE PELUCHE CON SONIDO TIPO SQUEAKY ESTILO ZAPATILLA DAMA 23cm SHARPAW by SUNNY</t>
  </si>
  <si>
    <t>SP-3467</t>
  </si>
  <si>
    <t>FLUFFY CHUMS JUGUETE DE PELUCHE CON SONIDO TIPO SQUEAKY ESTILO BALON FUTBOL AMERICANO 17cm SHARPAW by SUNNY</t>
  </si>
  <si>
    <t>SP-3468</t>
  </si>
  <si>
    <t>FLUFFY CHUMS JUGUETE DE PELUCHE CON SONIDO TIPO SQUEAKY ESTILO BALON FUTBOL SOCCER 20cm SHARPAW by SUNNY</t>
  </si>
  <si>
    <t>SP-3469</t>
  </si>
  <si>
    <t>FLUFFY CHUMS JUGUETE DE PELUCHE CON SONIDO TIPO SQUEAKY ESTILO BAT DE BEISBOL 35cm SHARPAW by SUNNY</t>
  </si>
  <si>
    <t>SP-3470</t>
  </si>
  <si>
    <t>FLUFFY CHUMS JUGUETE DE PELUCHE CON SONIDO TIPO SQUEAKY ESTILO LATA REFRESCO 13cm SHARPAW by SUNNY</t>
  </si>
  <si>
    <t>SP-3471</t>
  </si>
  <si>
    <t>FLUFFY CHUMS JUGUETE DE PELUCHE CON SONIDO TIPO SQUEAKY ESTILO PATO CON CUERDA 43cm SHARPAW by SUNNY</t>
  </si>
  <si>
    <t>SP-3472</t>
  </si>
  <si>
    <t>FLUFFY CHUMS JUGUETE DE PELUCHE CON SONIDO TIPO SQUEAKY ESTILO JIRAFA 27cm SHARPAW by SUNNY</t>
  </si>
  <si>
    <t>SP-3473</t>
  </si>
  <si>
    <t>FLUFFY CHUMS JUGUETE DE PELUCHE CON SONIDO TIPO SQUEAKY ESTILO BUHO 23cm SHARPAW by SUNNY</t>
  </si>
  <si>
    <t>SP-3474</t>
  </si>
  <si>
    <t>FLUFFY CHUMS JUGUETE DE PELUCHE CON SONIDO TIPO SQUEAKY ESTILO CHANGO CON BRAZOS Y PIERNAS DE HILO TRENZADO 36cm SHARPAW by SUNNY</t>
  </si>
  <si>
    <t>SP-3475</t>
  </si>
  <si>
    <t>FLUFFY CHUMS JUGUETE DE PELUCHE CON SONIDO TIPO SQUEAKY ESTILO PULPO 32cm (DIFERENTES COLORES) SHARPAW by SUNNY</t>
  </si>
  <si>
    <t>SP-3476</t>
  </si>
  <si>
    <t>FLUFFY CHUMS JUGUETE DE PELUCHE CON SONIDO TIPO SQUEAKY Y PAPEL TIPO ELEFANTE 36cm SHARPAW by SUNNY</t>
  </si>
  <si>
    <t>SP-3477</t>
  </si>
  <si>
    <t>FLUFFY CHUMS JUGUETE DE PELUCHE CON SONIDO TIPO SQUEAKY ESTILO GALLO 20cm SHARPAW by SUNNY</t>
  </si>
  <si>
    <t>SP-3478</t>
  </si>
  <si>
    <t>FLUFFY CHUMS JUGUETE DE PELUCHE CON SONIDO TIPO SQUEAKY ESTILO PATO 20cm SHARPAW by SUNNY</t>
  </si>
  <si>
    <t>SP-3479</t>
  </si>
  <si>
    <t>FLUFFY CHUMS JUGUETE DE PELUCHE CON SONIDO TIPO SQUEAKY ESTILO UNICORNIO 22cm SHARPAW by SUNNY</t>
  </si>
  <si>
    <t>SP-3480</t>
  </si>
  <si>
    <t>FLUFFY CHUMS JUGUETE DE PELUCHE CON SONIDO TIPO SQUEAKY Y PAPEL ESTILO ZORRO 40cm SHARPAW by SUNNY</t>
  </si>
  <si>
    <t>SP-3481</t>
  </si>
  <si>
    <t>FLUFFY CHUMS JUGUETE DE PELUCHE CON SONIDO TIPO SQUEAKY Y PAPEL ESTILO ORNITORRINCO 55cm SHARPAW by SUNNY</t>
  </si>
  <si>
    <t>SP-3482</t>
  </si>
  <si>
    <t>FLUFFY CHUMS JUGUETE DE PELUCHE CON SONIDO TIPO SQUEAKY ESTILO MAPACHE 47cm SHARPAW by SUNNY</t>
  </si>
  <si>
    <t>SP-3483</t>
  </si>
  <si>
    <t>FLUFFY CHUMS JUGUETE DE PELUCHE CON SONIDO TIPO SQUEAKY ESTILO HIPO 47cm SHARPAW by SUNNY</t>
  </si>
  <si>
    <t>SP-3484</t>
  </si>
  <si>
    <t>FLUFFY CHUMS JUGUETE DE PELUCHE CON SONIDO TIPO SQUEAKY ESTILO FRANKY HALLOWEEN 38cm SHARPAW by SUNNY</t>
  </si>
  <si>
    <t>SP-3485</t>
  </si>
  <si>
    <t>FLUFFY CHUMS JUGUETE DE PELUCHE CON SONIDO TIPO SQUEAKY ESTILO CALABAZA HALLOWEEN 38cm SHARPAW by SUNNY</t>
  </si>
  <si>
    <t>SP-3486</t>
  </si>
  <si>
    <t>FLUFFY CHUMS JUGUETE DE PELUCHE CON SONIDO TIPO SQUEAKY ESTILO MOMIA HALLOWEEN 20cm SHARPAW by SUNNY</t>
  </si>
  <si>
    <t>SP-7859</t>
  </si>
  <si>
    <t>FLUFFY CHUMS JUGUETE DE PELUCHE CON SONIDO TIPO SQUEAKY ESTILO FANTASMA  C/CUERDA 28cm SHARPAW by SUNNY</t>
  </si>
  <si>
    <t>SP-7860</t>
  </si>
  <si>
    <t>FLUFFY CHUMS JUGUETE DE PELUCHE CON SONIDO TIPO SQUEAKY ESTILO CALABAZA 23cm SHARPAW by SUNNY</t>
  </si>
  <si>
    <t>SP-7861</t>
  </si>
  <si>
    <t>FLUFFY CHUMS JUGUETE DE PELUCHE CON SONIDO TIPO SQUEAKY ESTILO FRANKY ZOMBIE  23cm SHARPAW by SUNNY</t>
  </si>
  <si>
    <t>SP-7862</t>
  </si>
  <si>
    <t>FLUFFY CHUMS JUGUETE DE PELUCHE CON SONIDO TIPO SQUEAKY ESTILO SPIDER C/CUERDA 30cm SHARPAW by SUNNY</t>
  </si>
  <si>
    <t>SP-7863</t>
  </si>
  <si>
    <t>FLUFFY CHUMS JUGUETE DE PELUCHE CON SONIDO TIPO SQUEAKY ESTILO MOMIA C/CUERDA 30cm SHARPAW by SUNNY</t>
  </si>
  <si>
    <t>SP-3487</t>
  </si>
  <si>
    <t>FLUFFY CHUMS JUGUETE DE PELUCHE CON SONIDO TIPO SQUEAKY ESTILO ALCE NAVIDAD C/BRAZOS DE HILO TRENZADO 32cm SHARPAW by SUNNY</t>
  </si>
  <si>
    <t>SP-3488</t>
  </si>
  <si>
    <t>FLUFFY CHUMS JUGUETE DE PELUCHE CON SONIDO TIPO SQUEAKY ESTILO JENJI MAVIDAD 44cm SHARPAW by SUNNY</t>
  </si>
  <si>
    <t>SP-3489</t>
  </si>
  <si>
    <t>FLUFFY CHUMS JUGUETE DE PELUCHE CON SONIDO TIPO SQUEAKY ESTILO MONO DE NIEVE NAVIDAD C/HILO TRENZADO 44cm SHARPAW by SUNNY</t>
  </si>
  <si>
    <t>SP-7864</t>
  </si>
  <si>
    <t>FLUFFY CHUMS JUGUETE DE PELUCHE CON SONIDO TIPO SQUEAKY ESTILO MONO DE NIEVE C/CUERDA 40cm SHARPAW by SUNNY</t>
  </si>
  <si>
    <t>SP-7865</t>
  </si>
  <si>
    <t>FLUFFY CHUMS JUGUETE DE PELUCHE CON SONIDO TIPO SQUEAKY ESTILO CIERVO DE NAVIDAD C/CUERDA 35cm SHARPAW by SUNNY</t>
  </si>
  <si>
    <t>SP-7866</t>
  </si>
  <si>
    <t>FLUFFY CHUMS JUGUETE DE PELUCHE CON SONIDO TIPO SQUEAKY ESTILO MONO DE NIEVE C/CUERDA Y PELOTA 36cm SHARPAW by SUNNY</t>
  </si>
  <si>
    <t>SP-7867</t>
  </si>
  <si>
    <t>FLUFFY CHUMS JUGUETE DE PELUCHE CON SONIDO TIPO SQUEAKY SET 3 PELOTAS NAVIDAD 9cm C/U SHRAPAW by SUNNY</t>
  </si>
  <si>
    <t>SP-7868</t>
  </si>
  <si>
    <t>FLUFFY CHUMS JUGUETE DE PELUCHE CON SONIDO TIPO SQUEAKY ESTILO HOMBRE DE NIEVE C/CUERPO DE CUERDA 17cm SHARPAW by SUNNY</t>
  </si>
  <si>
    <t>SP-3490</t>
  </si>
  <si>
    <t>FLUFFY CHUMS JUGUETE DE PELUCHE CON SONIDO TIPO SQUEAKY 3PCS ESTILO HAPPY BIRTHDAY GIRL SHARPAW by SUNNY</t>
  </si>
  <si>
    <t>SP-3491</t>
  </si>
  <si>
    <t>FLUFFY CHUMS JUGUETE DE PELUCHE CON SONIDO TIPO SQUEAKY 3PCS ESTILO HAPPY BIRTHDAY BOY SHARPAW by SUNNY</t>
  </si>
  <si>
    <t>SP-3550</t>
  </si>
  <si>
    <t>FLUFFY CHUMS JUGUETE DE PELUCHE CON SONIDO TIPO SQUEAKY Y PAPEL ESTILO PANDA 55cm SHARPAW by SUNNY</t>
  </si>
  <si>
    <t>SP-7893</t>
  </si>
  <si>
    <t>FLUFFY CHUMS JUGUETE DE PELUCHE CON SONIDO TIPO SQUEAKY MONSTER BLUE 20cm SHARPAW by SUNNY</t>
  </si>
  <si>
    <t>SP-7894</t>
  </si>
  <si>
    <t>FLUFFY CHUMS JUGUETE DE PELUCHE CON SONIDO TIPO SQUEAKY MONSTER ORANGE 20cm SHARPAW by SUNNY</t>
  </si>
  <si>
    <t>SP-7895</t>
  </si>
  <si>
    <t>FLUFFY CHUMS JUGUETE DE PELUCHE CON SONIDO TIPO SQUEAKY MONSTER YELLOW 20cm SHARPAW by SUNNY</t>
  </si>
  <si>
    <t>SP-7896</t>
  </si>
  <si>
    <t>FLUFFY CHUMS JUGUETE DE PELUCHE CON SONIDO TIPO SQUEAKY MONSTER PINK 20cm SHARPAW by SUNNY</t>
  </si>
  <si>
    <t>SP-7897</t>
  </si>
  <si>
    <t>FLUFFY CHUMS JUGUETE DE PELUCHE CON SONIDO TIPO SQUEAKY MONSTER RED 20cm SHARPAW by SUNNY</t>
  </si>
  <si>
    <t>SP-80529</t>
  </si>
  <si>
    <t>FLUFFY CHUMS JUGUETE DE PELUCHE CON SONIDO TIPO SQUEAKY  ESTILO JIRAFA BABY SHARPAW by SUNNY</t>
  </si>
  <si>
    <t>SP-80531</t>
  </si>
  <si>
    <t>FLUFFY CHUMS JUGUETE DE PELUCHE CON SONIDO TIPO SQUEAKY  ESTILO PINGÜINO BABY SHARPAW by SUNNY</t>
  </si>
  <si>
    <t>SP-80532</t>
  </si>
  <si>
    <t>FLUFFY CHUMS JUGUETE DE PELUCHE CON SONIDO TIPO SQUEAKY  ESTILO CERDITO BABY SHARPAW by SUNNY</t>
  </si>
  <si>
    <t>SP-80533</t>
  </si>
  <si>
    <t>FLUFFY CHUMS JUGUETE DE PELUCHE CON SONIDO TIPO SQUEAKY  ESTILO GALLINOTA SHARPAW by SUNNY</t>
  </si>
  <si>
    <t>SP-80534</t>
  </si>
  <si>
    <t>FLUFFY CHUMS JUGUETE DE PELUCHE CON SONIDO TIPO SQUEAKY  ESTILO PUERCOESPIN SHARPAW by SUNNY</t>
  </si>
  <si>
    <t>SP-80535</t>
  </si>
  <si>
    <t>FLUFFY MAZE CHUMPY JUGUETE DE PELUCHE CON SONIDO TIPO SQUEAKY ESTILO CANGREJO 26cm SHARPAW by SUNNY</t>
  </si>
  <si>
    <t>SP-80536</t>
  </si>
  <si>
    <t>FLUFFY MAZE CHUMPY JUGUETE DE PELUCHE CON SONIDO TIPO SQUEAKY ESTILO RANA  26cm SHARPAW by SUNNY</t>
  </si>
  <si>
    <t>SP-80537</t>
  </si>
  <si>
    <t>FLUFFY MAZE CHUMPY JUGUETE DE PELUCHE CON SONIDO TIPO SQUEAKY ESTILO KOALA 28cm SHARPAW by SUNNY</t>
  </si>
  <si>
    <t>SP-80538</t>
  </si>
  <si>
    <t>FLUFFY MAZE CHUMPY JUGUETE DE PELUCHE CON SONIDO TIPO SQUEAKY ESTILO PERRO CAZADOR 30cm SHARPAW by SUNNY</t>
  </si>
  <si>
    <t>SP-80539</t>
  </si>
  <si>
    <t>FLUFFY MAZE CHUMPY JUGUETE DE PELUCHE CON SONIDO TIPO SQUEAKY ESTILO MONO 20cm SHARPAW by SUNNY</t>
  </si>
  <si>
    <t>SP-80540</t>
  </si>
  <si>
    <t>FLUFFY MAZE CHUMPY JUGUETE DE PELUCHE CON SONIDO TIPO SQUEAKY ESTILO JIRAFA 46cm SHARPAW by SUNNY</t>
  </si>
  <si>
    <t>SP-80541</t>
  </si>
  <si>
    <t>FLUFFY MAZE CHUMPY JUGUETE DE PELUCHE CON SONIDO TIPO SQUEAKY ESTILO BURRO 22cm SHARPAW by SUNNY</t>
  </si>
  <si>
    <t>SP-80542</t>
  </si>
  <si>
    <t>FLUFFY MAZE CHUMPY JUGUETE DE PELUCHE CON SONIDO TIPO SQUEAKY ESTILO CHANGO 30cm SHARPAW by SUNNY</t>
  </si>
  <si>
    <t>SP-80543</t>
  </si>
  <si>
    <t>FLUFFY MAZE CHUMPY JUGUETE DE PELUCHE CON SONIDO TIPO SQUEAKY ESTILO PERICO 30cm SHARPAW by SUNNY</t>
  </si>
  <si>
    <t>SP-80544</t>
  </si>
  <si>
    <t>FLUFFY MAZE CHUMPY JUGUETE DE PELUCHE CON SONIDO TIPO SQUEAKY ESTILO DRAGON 28cm SHARPAW by SUNNY</t>
  </si>
  <si>
    <t>SP-3492</t>
  </si>
  <si>
    <t>ROCKY CHUMS HUESO DE CAUCHO GRADO ALIM C/SABOR TOCINO P/PERROS DE MORDIDA AGRESIVA 15.5cm 188g</t>
  </si>
  <si>
    <t>SP-3493</t>
  </si>
  <si>
    <t>ROCKY CHUMS HUESO DE CAUCHO GRADO ALIM C/SABOR TOCINO P/PERROS DE MORDIDA AGRESIVA 18cm 350g</t>
  </si>
  <si>
    <t>SP-3494</t>
  </si>
  <si>
    <t>ROCKY CHUMS HUESO DE CAUCHO GRADO ALIM C/SABOR TOCINO P/PERROS DE MORDIDA AGRESIVA 20cm 525g</t>
  </si>
  <si>
    <t>SP-3495</t>
  </si>
  <si>
    <t>ROCKY CHUMS HUESO DE CAUCHO GRADO ALIM C/SABOR TOCINO P/PERROS DE MORDIDA AGRESIVA 23.3cm 510g</t>
  </si>
  <si>
    <t>SP-3496</t>
  </si>
  <si>
    <t>ROCKY CHUMS HUESO DE NYLON EXTRA RESIST C/SABOR TOCINO P/PERROS DE MORDIDA AGRESIVA 25.5cm 369g</t>
  </si>
  <si>
    <t>SP-3497</t>
  </si>
  <si>
    <t>ROCKY CHUMS BALON RUGBY C/SONIDO CAUCHO GRADO ALIM C/SABOR TOCINO P/PERROS DE MORDIDA AGRESIVA 15cm 204g</t>
  </si>
  <si>
    <t>SP-3498</t>
  </si>
  <si>
    <t>ROCKY CHUMS PELOTA PICOS C/SONIDO DE CAUCHO GRADO ALIM C/SABOR TOCINO P/PERROS DE MORDIDA AGRESIVA 8cm 221g</t>
  </si>
  <si>
    <t>SP-3499</t>
  </si>
  <si>
    <t>ROCKY CHUMS PELOTA DE ETPU P/PERROS DE MORDIDA AGRESIVA 2.5" (flota y rebota)</t>
  </si>
  <si>
    <t>SP-3500</t>
  </si>
  <si>
    <t>ROCKY CHUMS PELOTA DE ETPU P/PERROS DE MORDIDA AGRESIVA 3" (flota y rebota)</t>
  </si>
  <si>
    <t>SP-3850</t>
  </si>
  <si>
    <t>TINNY CHUMS HUESO C/HUELLAS DE CAUCHO SOLIDO VARIOS COLORES 10.5cm SHARPAW by SUNNY</t>
  </si>
  <si>
    <t>SP-3851</t>
  </si>
  <si>
    <t>TINNY CHUMS MORDEDERA CON JALADERA DE CAUCHO SOLIDO VARIOS COLORES 13cm SHARPAW by SUNNY</t>
  </si>
  <si>
    <t>SP-3852</t>
  </si>
  <si>
    <t>TINNY CHUMS ESQUELETO PESCADO DE CAUCHO SOLIDO VARIOS COLORES 12.5cm SHARPAW by SUNNY</t>
  </si>
  <si>
    <t>SP-3853</t>
  </si>
  <si>
    <t>TINNY CHUMS MANCUERNA C/PICOS DE CAUCHO SOLIDO Y CASCABEL VARIOS COLORES 10cm SHARPAW by SUNNY</t>
  </si>
  <si>
    <t>SP-3854</t>
  </si>
  <si>
    <t>TINNY CHUMS DONA CON HUELLAS DE CAUCHO SOLIDO VARIOS COLORES 7cm SHARPAW by SUNNY</t>
  </si>
  <si>
    <t>SP-3855</t>
  </si>
  <si>
    <t>TINNY CHUMS ESTRELLA CON HUELLAS DE CAUCHO SOLIDO VARIOS COLORES 7cm SHARPAW by SUNNY</t>
  </si>
  <si>
    <t>SP-3856</t>
  </si>
  <si>
    <t>TINNY CHUMS HUESO LISO DE CAUCHO SOLIDO VARIOS COLORES 12cm SHARPAW by SUNNY</t>
  </si>
  <si>
    <t>SP-3857</t>
  </si>
  <si>
    <t>TINNY CHUMS ESCORPION DE CAUCHO SOLIDO VARIOS COLORES 11.5cm SHARPAW by SUNNY</t>
  </si>
  <si>
    <t>SP-3858</t>
  </si>
  <si>
    <t>TINNY CHUMS MANCUERNA C/PICOS Y SONIDO VARIOS COLORES 12.5cm SHARPAW by SUNNY</t>
  </si>
  <si>
    <t>SP-3859</t>
  </si>
  <si>
    <t>TINNY CHUMS TRIPLE ARO C/PICOS DE CAUCHO SOLIDO VARIOS COLORES 18.5cm SHARPAW by SUNNY</t>
  </si>
  <si>
    <t>SP-3860</t>
  </si>
  <si>
    <t>TINNY CHUMS MANCUERNA DENTADA DE CAUCHO SOLIDO C/CASCABEL VARIOS COLORES 15.5cm SHARPAW by SUNNY</t>
  </si>
  <si>
    <t>SP-3861</t>
  </si>
  <si>
    <t>TINNY CHUMS MANCUERNA RANURADA DE CAUCHO SOLIDO C/CASCABEL VARIOS COLORES 12.5cm SHARPAW by SUNNY</t>
  </si>
  <si>
    <t>SP-3862</t>
  </si>
  <si>
    <t>TINNY CHUMS ARO CHICO CON PICOS DE CAUCHO SOLIDO 11cm SHARPAW by SUNNY</t>
  </si>
  <si>
    <t>SP-3863</t>
  </si>
  <si>
    <t>TINNY CHUMS ARO GRANDE CON PICOS DE CAUCHO SOLIDO 15cm SHARPAW by SUNNY</t>
  </si>
  <si>
    <t>SP-3864</t>
  </si>
  <si>
    <t>TINNY CHUMS HUESO CON PICOS DE CAUCHO SOLIDO VARIOS COLORES 15cm  SHARPAW by SUNNY</t>
  </si>
  <si>
    <t>SP-3865</t>
  </si>
  <si>
    <t>TINNY CHUMS SET DE ARO, ESTRELLA Y MEDIA LUNA DE CAUCHO SOLIDO VARIOS COLORES 17cm SHARPAW by SUNNY</t>
  </si>
  <si>
    <t>SP-3866</t>
  </si>
  <si>
    <t>TINNY CHUMS CEPILLO DE CAUCHO SOLIDO VARIOS COLORES 13.5cm SHARPAW by SUNNY</t>
  </si>
  <si>
    <t>SP-3867</t>
  </si>
  <si>
    <t>TINNY CHUMS ARO DENTADO DE CAUCHO SOLIDO VARIOS COLORES 8.5cm SHARPAW by SUNNY</t>
  </si>
  <si>
    <t>SP-3868</t>
  </si>
  <si>
    <t>TINNY CHUMS ESTRELLA DE CAUCHO SOLIDO VARIOS COLORES 8.5cm SHARPAW by SUNNY</t>
  </si>
  <si>
    <t>SP-3869</t>
  </si>
  <si>
    <t>TINNY CHUMS MEDIA LUNA DE CAUCHO SOLIDO VARIOS COLORES 9cm SHARPAW by SUNNY</t>
  </si>
  <si>
    <t>SP-3870</t>
  </si>
  <si>
    <t>TINNY CHUMS CHUPON DE CAUCHO CON CASCABEL VARIOS COLORES 9.5cm SHARPAW by SUNNY</t>
  </si>
  <si>
    <t>SP-3871</t>
  </si>
  <si>
    <t>TINNY CHUMS BALON RUGBY DE CAUCHO CON SONIDO VARIOS COLORES 9.5cm  SHARPAW by SUNNY</t>
  </si>
  <si>
    <t>SP-3872</t>
  </si>
  <si>
    <t>TINNY CHUMS DONA PERFORADA DE CAUCHO SOLIDO VARIOS COLORES 9.5cm SHARPAW by SUNNY</t>
  </si>
  <si>
    <t>SP-3873</t>
  </si>
  <si>
    <t>TINNY CHUMS HUESO HUECO DE CAUCHO PARA PREMIOS VARIOS COLORES 8.5cm SHARPAW by SUNNY</t>
  </si>
  <si>
    <t>SP-3874</t>
  </si>
  <si>
    <t>TINNY CHUMS BARRIL PERFORADO DE CAUCHO SOLIDO VARIOS COLORES 7cm  SHARPAW by SUNNY</t>
  </si>
  <si>
    <t>SP-3875</t>
  </si>
  <si>
    <t>TINNY CHUMS SET DE TRIANGULO, CUADRO Y CORAZON DE CAUCHO SOLIDO VARIOS COLORES 21cm SHARPAW by SUNNY</t>
  </si>
  <si>
    <t>SP-3876</t>
  </si>
  <si>
    <t>TINNY CHUMS PELOTA HUELLAS DE CAUCHO C/SONIDO VARIOS COLORES 6cm SHARPAW by SUNNY</t>
  </si>
  <si>
    <t>SP-3877</t>
  </si>
  <si>
    <t>TINNY CHUMS PELOTA PICOS DE CAUCHO C/SONIDO VARIOS COLORES 6cm SHARPAW by SUNNY</t>
  </si>
  <si>
    <t>SP-3878</t>
  </si>
  <si>
    <t>TINNY CHUMS PELOTA HUESOS DE CAUCHO C/SONIDO VARIOS COLORES 6cm SHARPAW by SUNNY</t>
  </si>
  <si>
    <t>SP-3879</t>
  </si>
  <si>
    <t>TINNY CHUMS JUGUETE DE HILO C/SET 3 CHUPONES C/CASCABEL Y AGARRADERA DE CAUCHO 45cm SHARPAW by SUNNY</t>
  </si>
  <si>
    <t>SP-3880</t>
  </si>
  <si>
    <t>TINNY CHUMS JUGUETE DE HILO C/SET   ESTRELLA Y PELOTA DE CAUCHO SOLIDO 40cm SHARPAW by SUNNY</t>
  </si>
  <si>
    <t>SP-3881</t>
  </si>
  <si>
    <t>TINNY CHUMS JUGUETE DE HILO C/SET ARO Y ENGRANES DE CAUCHO SOLIDO 40cm SHARPAW by SUNNY</t>
  </si>
  <si>
    <t>SP-3882</t>
  </si>
  <si>
    <t>TINNY CHUMS JUGUETE DE HILO TRENZADO C/PELOTA DE PICOS 66cm SHARPAW by SUNNY</t>
  </si>
  <si>
    <t>SP-3883</t>
  </si>
  <si>
    <t>TINNY CHUMS HUESO DE CAUCHO C/HILO TRENZADO VARIOS COLORES 20cm SHARPAW by SUNNY</t>
  </si>
  <si>
    <t>SP-3884</t>
  </si>
  <si>
    <t>TINNY CHUMS TRIANGULO DE CAUCHO SOLIDO C/HILOS DE ALGODÓN  VARIOS COLORES 18cm SHARPAW by SUNNY</t>
  </si>
  <si>
    <t>SP-3885</t>
  </si>
  <si>
    <t>TINNY CHUMS ESTRELLA DE CAUCHO SOLIDO C/HILOS DE ALGODÓN VARIOS COLORES 18cm SHARPAW by SUNNY</t>
  </si>
  <si>
    <t>SP-3886</t>
  </si>
  <si>
    <t>TINNY CHUMS ARO DENTADO  DE CAUCHO SOLIDO C/HILOS DE ALGODÓN VARIOS COLORES 18cm SHARPAW by SUNNY</t>
  </si>
  <si>
    <t>SP-3887</t>
  </si>
  <si>
    <t>TINNY CHUMS JUGUETE DE CAUCHO SOLIDO C/HILOS DE ALGODÓN VARIOS COLORES 33cm SHARPAW by SUNNY</t>
  </si>
  <si>
    <t>SP-3888</t>
  </si>
  <si>
    <t>TINNY CHUMS MANCUERNA DE CAUCHO SOLIDO TRANSP C/CASCABEL VARIOS COLORES 12.5cm SHARPAW by SUNNY</t>
  </si>
  <si>
    <t>SP-3889</t>
  </si>
  <si>
    <t>TINNY CHUMS HUESO DE CAUCHO SOLIDO TRANSPARENTE VARIOS COLORES 10.5cm  SHARPAW by SUNNY</t>
  </si>
  <si>
    <t>SP-3890</t>
  </si>
  <si>
    <t>CHEWY CHUMS HUESO DE NYLON Y CAUCHO 12cm SHARPAW by SUNNY</t>
  </si>
  <si>
    <t>SP-3891</t>
  </si>
  <si>
    <t>CHEWY CHUMS HUESO DE NYLON Y CAUCHO 13cm SHARPAW by SUNNY</t>
  </si>
  <si>
    <t>SP-3892</t>
  </si>
  <si>
    <t>CHEWY CHUMS HUESO DE NYLON Y CAUCHO 14cm SHARPAW by SUNNY</t>
  </si>
  <si>
    <t>SP-3893</t>
  </si>
  <si>
    <t>CHEWY CHUMS HUESO DE NYLON Y CAUCHO DOBLE ARGOLLA 19.5cm SHARPAW by SUNNY</t>
  </si>
  <si>
    <t>SP-3894</t>
  </si>
  <si>
    <t>CHEWY CHUMS HUESO DE NYLON Y CAUCHO CHULETA 13cm SHARPAW by SUNNY</t>
  </si>
  <si>
    <t>SP-3895</t>
  </si>
  <si>
    <t>CHEWY CHUMS HUESO DE NYLON Y CAUCHO TREBOL 11cm SHARPAW by SUNNY</t>
  </si>
  <si>
    <t>SP-3896</t>
  </si>
  <si>
    <t>CHEWY CHUMS HUESO DE NYLON Y CAUCHO ARO 10cm SHARPAW by SUNNY</t>
  </si>
  <si>
    <t>SP-3897</t>
  </si>
  <si>
    <t>CHEWY CHUMS HUESO DE NYLON Y CAUCHO " Y " 11.5cm SHARPAW by SUNNY</t>
  </si>
  <si>
    <t>SP-3898</t>
  </si>
  <si>
    <t>ROPY CHUMS HUESO DE HILO MULTICOLOR 6" SHARPAW by SUNNY</t>
  </si>
  <si>
    <t>SP-3899</t>
  </si>
  <si>
    <t>ROPY CHUMS HUESO DE HILO MULTICOLOR 8" SHARPAW by SUNNY</t>
  </si>
  <si>
    <t>SP-3900</t>
  </si>
  <si>
    <t>ROPY CHUMS HUESO DE HILO MULTICOLOR 10" SHARPAW  by SUNNY</t>
  </si>
  <si>
    <t>SP-3901</t>
  </si>
  <si>
    <t>ROPY CHUMS HUESO DE HILO MULTICOLOR 12" SHARPAW by SUNNY</t>
  </si>
  <si>
    <t>SP-3902</t>
  </si>
  <si>
    <t>ROPY CHUMS BOLA DE HILO MULTICOLOR 2" SHARPAW by SUNNY</t>
  </si>
  <si>
    <t>SP-3903</t>
  </si>
  <si>
    <t>ROPY CHUMS HUESO DE HILO MULTICOLOR C/ PELOTA DE PICOS 8" SHARPAW by SUNNY</t>
  </si>
  <si>
    <t>SP-3904</t>
  </si>
  <si>
    <t>ROPY CHUMS HUESO DE HILO MULTICOLOR C/ PELOTA DE PICOS 10" SHARPAW by SUNNY</t>
  </si>
  <si>
    <t>SP-3905</t>
  </si>
  <si>
    <t>ROPY CHUMS HUESO DE HILO MULTICOLOR C/ PELOTA DE PICOS 12"  SHARPAW by SUNNY</t>
  </si>
  <si>
    <t>SP-3906</t>
  </si>
  <si>
    <t>ROPY CHUMS HUESO DE HILO MULTICOLOR C/ PELOTA DE PICOS 14" SHARPAW by SUNNY</t>
  </si>
  <si>
    <t>SP-3907</t>
  </si>
  <si>
    <t>ROPY CHUMS TRIPLE ARO DE HILO MULTICOLOR C/PELOTA DE PICOS 18"  SHARPAW by SUNNY</t>
  </si>
  <si>
    <t>SP-3908</t>
  </si>
  <si>
    <t>ROPY CHUMS JUGUETE DE HILO TRENZADO Y JALADERA  14"  SHARPAW by SUNNY</t>
  </si>
  <si>
    <t>SP-3909</t>
  </si>
  <si>
    <t>ROPY CHUMS JUGUETE DE HILO TRENZADO AZUL C/PELOTA PLASTICO 8"  SHARPAW by SUNNY</t>
  </si>
  <si>
    <t>SP-3910</t>
  </si>
  <si>
    <t>ROPY CHUMS JUGUETE DE HILO TRENZADO NARANJA C/PELOTA PLASTICO 8" SHARPAW by SUNNY</t>
  </si>
  <si>
    <t>SP-3911</t>
  </si>
  <si>
    <t>ROPY CHUMS JUGUETE DE HILO MANCUERNA 8" SHARPAW by SUNNY</t>
  </si>
  <si>
    <t>SP-3912</t>
  </si>
  <si>
    <t>ROPY CHUMS JUGUETE DE HILO MUÑECO TRENZADO AZUL C/PELOTA PLASTICO 8" SHARPAW by SUNNY</t>
  </si>
  <si>
    <t>SP-3913</t>
  </si>
  <si>
    <t>ROPY CHUMS JUGUETE DE HILO MUÑECO TRENZADO NARANJA C/PELOTA PLASTICO 8"  SHARPAW by SUNNY</t>
  </si>
  <si>
    <t>SP-3914</t>
  </si>
  <si>
    <t>ROPY CHUMS JUGUETE DE HILO TRENZADO Y ARO C/PICOS DE CAUCHO  10"  SHARPAW by SUNNY</t>
  </si>
  <si>
    <t>SP-3915</t>
  </si>
  <si>
    <t>ROPY CHUMS JUGUETE DE HILO MULTICOLOR C/JALADERA Y 3 PELOTAS PLASTICO 21" SHARPAW by SUNNY</t>
  </si>
  <si>
    <t>SP-3916</t>
  </si>
  <si>
    <t>ROPY CHUMS HUESO DE HILO TRENZADO NARANJA 6.5" SHARPAW by SUNNY</t>
  </si>
  <si>
    <t>SP-3917</t>
  </si>
  <si>
    <t>ROPY CHUMS HUESO DE HILO TRENZADO AZUL 6.5" SHARPAW by SUNNY</t>
  </si>
  <si>
    <t>SP-3918</t>
  </si>
  <si>
    <t>ROPY CHUMS JUGUETE DE HILO TRENZADO Y JALADERA  10"  SHARPAW by SUNNY</t>
  </si>
  <si>
    <t>SP-3919</t>
  </si>
  <si>
    <t>ROPY CHUMS TRIPLE ARO C/2 AROS DE HILO Y 1 ARO DE CAUCHO C/PICOS 10"  SHARPAW by SUNNY</t>
  </si>
  <si>
    <t>SP-3920</t>
  </si>
  <si>
    <t>ROPY CHUMS JUGUETE DE HILO C/JALADERA Y PELOTA PLASTICO 16"  SHARPAW by SUNNY</t>
  </si>
  <si>
    <t>SP-3921</t>
  </si>
  <si>
    <t>TINNY CHUMS SET DE 3PCS PELOTA TENNIS CHICA 2" C/SONIDO TIPO SQUEAKY  SHARPAW by SUNNY</t>
  </si>
  <si>
    <t>SP-3922</t>
  </si>
  <si>
    <t>TINNY CHUMS SET DE 3PCS PELOTA TENNIS CHICA VARIOS COLORES 2" C/SONIDO TIPO SQUEAKY SHARPAW by SUNNY</t>
  </si>
  <si>
    <t>SP-80503</t>
  </si>
  <si>
    <t>TINNY CHUMS SET DE 3PCS PELOTA TENNIS CHICA BICOLOR  2" S/SONIDO  SHARPAW by SUNNY</t>
  </si>
  <si>
    <t>SP-3923</t>
  </si>
  <si>
    <t>TINNY CHUMS SET DE 3PCS PELOTA TENNIS CHICA 2.5" C/SONIDO TIPO SQUEAKY SHARPAW by SUNNY</t>
  </si>
  <si>
    <t>SP-3924</t>
  </si>
  <si>
    <t>TINNY CHUMS SET DE 3PCS PELOTA TENNIS CHICA VARIOS COLORES 2.5" C/SONIDO TIPO SQUEAKY  SHARPAW by SUNNY</t>
  </si>
  <si>
    <t>SP-80504</t>
  </si>
  <si>
    <t>TINNY CHUMS SET DE 3PCS PELOTA TENNIS CHICA BICOLOR  2.5" S/SONIDO  SHARPAW by SUNNY</t>
  </si>
  <si>
    <t>SP-3925</t>
  </si>
  <si>
    <t>TINNY CHUMS PELOTA TENNIS GRANDE 3" C/SONIDO TIPO SQUEAKY SHARPAW by SUNNY</t>
  </si>
  <si>
    <t>SP-3926</t>
  </si>
  <si>
    <t>TINNY CHUMS PELOTA TENNIS GRANDE VARIOS COLORES 3" C/SONIDO TIPO SQUEAKY  SHARPAW by SUNNY</t>
  </si>
  <si>
    <t>SP-3927</t>
  </si>
  <si>
    <t>TINNY CHUMS SET DE 3PCS PELOTA TENNIS CHICA 2" S/SONIDO   SHARPAW by SUNNY</t>
  </si>
  <si>
    <t>SP-3928</t>
  </si>
  <si>
    <t>TINNY CHUMS SET DE 3PCS PELOTA TENNIS CHICA VARIOS COLORES 2" S/SONIDO SHARPAW by SUNNY</t>
  </si>
  <si>
    <t>SP-3929</t>
  </si>
  <si>
    <t>TINNY CHUMS SET DE 3PCS PELOTA TENNIS CHICA 2.5" S/SONIDO  SHARPAW by SUNNY</t>
  </si>
  <si>
    <t>SP-3930</t>
  </si>
  <si>
    <t>TINNY CHUMS SET DE 3PCS PELOTA TENNIS CHICA VARIOS COLORES 2.5" S/SONIDO  SHARPAW by SUNNY</t>
  </si>
  <si>
    <t>SP-3931</t>
  </si>
  <si>
    <t>TINNY CHUMS PELOTA TENNIS GRANDE 3" S/SONIDO  SHARPAW by SUNNY</t>
  </si>
  <si>
    <t>SP-3932</t>
  </si>
  <si>
    <t>TINNY CHUMS PELOTA TENNIS GRANDE VARIOS COLORES 3" S/SONIDO  SHARPAW by SUNNY</t>
  </si>
  <si>
    <t>SP-3933</t>
  </si>
  <si>
    <t>TINNY CHUMS PELOTA TENNIS EXTRA GRANDE 5" S/SONIDO SHARPAW by SUNNY</t>
  </si>
  <si>
    <t>SP-3934</t>
  </si>
  <si>
    <t>TINNY CHUMS PELOTA TENNIS EXTRA GRANDE VARIOS COLORES 5" S/SONIDO  SHARPAW by SUNNY</t>
  </si>
  <si>
    <t>SP-3935</t>
  </si>
  <si>
    <t>TINNY CHUMS SET 2 PIEZAS PELOTAS TRANZADAS DE CAUCHO SOLIDO C/CASCABEL 6cm SHARPAW by SUNNY</t>
  </si>
  <si>
    <t>SP-3936</t>
  </si>
  <si>
    <t>TINNY CHUMS SET 2 PIEZAS PELOTAS TRANZADAS DE CAUCHO SOLIDO C/CASCABEL 7.5cm  SHARPAW by SUNNY</t>
  </si>
  <si>
    <t>SP-3937</t>
  </si>
  <si>
    <t>TINNY CHUMS SET 2 PIEZAS PELOTAS TRANZADAS DE CAUCHO SOLIDO C/CASCABEL 10cm SHARPAW by SUNNY</t>
  </si>
  <si>
    <t>SP-3938</t>
  </si>
  <si>
    <t>ROCKY CHUMS PELOTA CHICA 2" DE CAUCHO SOLIDO NATURAL DE BOTE IRREGULAR SHARPAW by SUNNY</t>
  </si>
  <si>
    <t>SP-3939</t>
  </si>
  <si>
    <t>ROCKY CHUMS PELOTA MEDIANA 2.5" DE CAUCHO SOLIDO NATURAL DE BOTE IRREGULAR SHARPAW by SUNNY</t>
  </si>
  <si>
    <t>SP-3940</t>
  </si>
  <si>
    <t>ROCKY CHUMS PELOTA GRANDE 3" DE CAUCHO SOLIDO NATURAL DE BOTE IRREGULAR  SHARPAW by SUNNY</t>
  </si>
  <si>
    <t>SP-3941</t>
  </si>
  <si>
    <t>ROCKY CHUMS ALA DE POLLO DE CAUCHO SOLIDO NATURAL  SHARPAW by SUNNY</t>
  </si>
  <si>
    <t>SP-3942</t>
  </si>
  <si>
    <t>ROCKY CHUMS PELOTA FLEXIBLE MULTIFUNCIONAL DE CAUCHO NATURAL CON HOYOS  3"  SHARPAW by SUNNY</t>
  </si>
  <si>
    <t>SP-3943</t>
  </si>
  <si>
    <t>ROCKY CHUMS OVALO FLEXIBLE MULTIFUNCIONAL DE CAUCHO NATURAL CON HOYOS 10.5cm  SHARPAW by SUNNY</t>
  </si>
  <si>
    <t>SP-3944</t>
  </si>
  <si>
    <t>ROCKY CHUMS LLANTA CHICA  DE CAUCHO SOLIDO NATURAL 7cm  SHARPAW by SUNNY</t>
  </si>
  <si>
    <t>SP-3945</t>
  </si>
  <si>
    <t>ROCKY CHUMS LLANTA MEDIANA DE CAUCHO SOLIDO NATURAL 9cm  SHARPAW by SUNNY</t>
  </si>
  <si>
    <t>SP-3946</t>
  </si>
  <si>
    <t>ROCKY CHUMS LLANTA GRANDE DE CAUCHO SOLIDO NATURAL 13.5cm SHARPAW by SUNNY</t>
  </si>
  <si>
    <t>SP-3947</t>
  </si>
  <si>
    <t>ROCKY CHUMS PELOTA FLEXIBLE CHICA MULTIFUNCIONAL DE CAUCHO NATURAL CON TRIANGULOS  9cm SHARPAW by SUNNY</t>
  </si>
  <si>
    <t>SP-3948</t>
  </si>
  <si>
    <t>ROCKY CHUMS PELOTA FLEXIBLE GRANDE MULTIFUNCIONAL DE CAUCHO NATURAL CON TRIANGULOS  13cm SHARPAW by SUNNY</t>
  </si>
  <si>
    <t>SP-3949</t>
  </si>
  <si>
    <t>ROCKY CHUMS JUGUETE GALLINA DE CAUCHO NATURAL C/SONIDO SQUEAKY 10cm  SHARPAW by SUNNY</t>
  </si>
  <si>
    <t>SP-3950</t>
  </si>
  <si>
    <t>ROCKY CHUMS PELOTA DE CAUCHO CRISTALINO 2.8" CON CUERDA DE 30cm DE POLIPROPILENO SHARPAW by SUNNY</t>
  </si>
  <si>
    <t>SP-3951</t>
  </si>
  <si>
    <t>ROCKY CHUMS PELOTA CAUCHO NATURAL PARA  MASAJE Y LIMPIEZA DE DIENTES 2.8" C/CUERDA DE POLIPROPILENO  SHARPAW by SUNNY</t>
  </si>
  <si>
    <t>SP-3952</t>
  </si>
  <si>
    <t>ROCKY CHUMS PELOTA CH 2" DE CAUCHO SOLIDO C/PICOS Y CUERDA DE 30cm DE POLIPROPILENO  SHARPAW by SUNNY</t>
  </si>
  <si>
    <t>SP-3953</t>
  </si>
  <si>
    <t>ROCKY CHUMS PELOTA MED 2.5" DE CAUCHO SOLIDO C/PICOS Y CUERDA DE 30cm DE POLIPROPILENO  SHARPAW by SUNNY</t>
  </si>
  <si>
    <t>SP-3954</t>
  </si>
  <si>
    <t>ROCKY CHUMS PELOTA GDE 2.8" DE CAUCHO SOLIDO C/PICOS Y CUERDA DE 30cm DE POLIPROPILENO  SHARPAW by SUNNY</t>
  </si>
  <si>
    <t>SP-3955</t>
  </si>
  <si>
    <t>ROCKY CHUMS ARO DE CAUCHO SOLIDO 14cm C/CUERDA DE 35cm DE POLIPROPILENO SHARPAW by SUNNY</t>
  </si>
  <si>
    <t>SP-3956</t>
  </si>
  <si>
    <t>ROCKY CHUMS ARO DE CAUCHO SOLIDO 8cm C/CUERDA DE 30cm DE POLIPROPILENO SHARPAW by SUNNY</t>
  </si>
  <si>
    <t>SP-3957</t>
  </si>
  <si>
    <t>ROCKY CHUMS CUERDA DE POLIESTER C/ESQUELETO Y CALABAZA DE CAUCHO SOLIDO NATURAL  SHARPAW by SUNNY</t>
  </si>
  <si>
    <t>SP-3958</t>
  </si>
  <si>
    <t>SP-3959</t>
  </si>
  <si>
    <t>SP-3960</t>
  </si>
  <si>
    <t>ROCKY CHUMS CAMPANA NAVIDAD CHICA DE CAUCHO SOLIDO C/SOGA DE POLIESTER  SHARPAW by SUNNY</t>
  </si>
  <si>
    <t>SP-3961</t>
  </si>
  <si>
    <t>ROCKY CHUMS CAMPANA NAVIDAD GRANDE DE CAUCHO SOLIDO C/SOGA DE POLIESTER  SHARPAW by SUNNY</t>
  </si>
  <si>
    <t>SP-3962</t>
  </si>
  <si>
    <t>ROCKY CHUMS BASTON NAVIDAD DE CAUCHO SOLIDO 16cm  SHARPAW by SUNNY</t>
  </si>
  <si>
    <t>SP-3963</t>
  </si>
  <si>
    <t>TINNY CHUMS POLLO CHILLON CH DE VINIL C/SONIDO TIPO SQUEAKY 16cm SHARPAW by SUNNY</t>
  </si>
  <si>
    <t>SP-3964</t>
  </si>
  <si>
    <t>TINNY CHUMS POLLO CHILLON GDE DE VINIL C/SONIDO TIPO SQUEAKY 31.5cm SHARPAW by SUNNY</t>
  </si>
  <si>
    <t>SP-3965</t>
  </si>
  <si>
    <t>TINNY CHUMS PELOTA DE PLASTICO RIGIDO C/DISPENSADOR DE ALIMENTO 7.5cm SHARPAW by SUNNY</t>
  </si>
  <si>
    <t>SP-3966</t>
  </si>
  <si>
    <t>TINNY CHUMS MANCUERNA DE VINIL C/SONIDO TIPO SQUEAKY 18cm  SHARPAW by SUNNY</t>
  </si>
  <si>
    <t>SP-3967</t>
  </si>
  <si>
    <t>TINNY CHUMS HUESO DE VINIL C/FIGURAS Y SONIDO TIPO SQUEAKY 16.5cm  SHARPAW by SUNNY</t>
  </si>
  <si>
    <t>SP-3968</t>
  </si>
  <si>
    <t>TINNY CHUMS HUESO DE VINIL LISO C/SONIDO TIPO SQUEAKY 20cm  SHARPAW by SUNNY</t>
  </si>
  <si>
    <t>SP-3969</t>
  </si>
  <si>
    <t>TINNY CHUMS MANCUERNA DE VINIL C/PICOS Y SONIDO TIPO SQUEAKY 15.8cm SHARPAW by SUNNY</t>
  </si>
  <si>
    <t>SP-3970</t>
  </si>
  <si>
    <t>TINNY CHUMS PELOTA CHICA DE VINIL C/PICOS Y SONIDO TIPO SQUEAKY 7cm  SHARPAW by SUNNY</t>
  </si>
  <si>
    <t>SP-3971</t>
  </si>
  <si>
    <t>TINNY CHUMS PELOTA MEDIANA DE VINIL C/PICOS Y SONIDO TIPO SQUEAKY 8.5cm  SHARPAW by SUNNY</t>
  </si>
  <si>
    <t>SP-3972</t>
  </si>
  <si>
    <t>TINNY CHUMS DONA DE VINIL C/HUELLAS Y SONIDO TIPO SQUEAKY 11cm  SHARPAW by SUNNY</t>
  </si>
  <si>
    <t>SP-3973</t>
  </si>
  <si>
    <t>TINNY CHUMS BALON RUGBY C/PICOS Y SONIDO TIPO SQUEAKY 11.5cm SHARPAW by SUNNY</t>
  </si>
  <si>
    <t>SP-3974</t>
  </si>
  <si>
    <t>TINNY CHUMS PELOTA CHICA DE VINIL C/HUESOS Y SONIDO TIPO SQUEAKY 6cm  SHARPAW by SUNNY</t>
  </si>
  <si>
    <t>SP-3975</t>
  </si>
  <si>
    <t>TINNY CHUMS PELOTA MEDIANA DE VINIL C/HUESOS Y SONIDO TIPO SQUEAKY 7.6cm  SHARPAW by SUNNY</t>
  </si>
  <si>
    <t>SP-3976</t>
  </si>
  <si>
    <t>TINNY CHUMS PELOTA CHICA DE VINIL C/CARA DE PERRO Y SONIDO TIPO SQUEAKY 6cm  SHARPAW by SUNNY</t>
  </si>
  <si>
    <t>SP-3977</t>
  </si>
  <si>
    <t>TINNY CHUMS PELOTA MEDIANA DE VINIL C/CARA DE PERRO Y SONIDO TIPO SQUEAKY 7.3cm  SHARPAW by SUNNY</t>
  </si>
  <si>
    <t>SP-3978</t>
  </si>
  <si>
    <t>TINNY CHUMS PELOTA GRANDE DE VINIL C/CARA DE PERRO Y SONIDO TIPO SQUEAKY 9cm  SHARPAW by SUNNY</t>
  </si>
  <si>
    <t>SP-3979</t>
  </si>
  <si>
    <t>TINNY CHUMS BALON BASKETBOL C/HUESO DE VINIL C/SONIDO TIPO SQUEAKY 16cm SHARPAW by SUNNY</t>
  </si>
  <si>
    <t>SP-3980</t>
  </si>
  <si>
    <t>TINNY CHUMS BALON FUTBOL AMERICANO C/HUESO DE VINIL C/SONIDO TIPO SQUEAKY 16cm SHARPAW by SUNNY</t>
  </si>
  <si>
    <t>SP-3981</t>
  </si>
  <si>
    <t>TINNY CHUMS PELOTA LISA DE VINIL C/SONIDO TIPO SQUEAKY 6cm  SHARPAW by SUNNY</t>
  </si>
  <si>
    <t>SP-3982</t>
  </si>
  <si>
    <t>TINNY CHUMS ELOTE DE VINIL C/SONIDO TIPO SQUEAKY 17cm SHARPAW by SUNNY</t>
  </si>
  <si>
    <t>SP-3983</t>
  </si>
  <si>
    <t>TINNY CHUMS PATO DE VINIL C/SONIDO TIPO SQUEAKY 26cm SHARPAW by SUNNY</t>
  </si>
  <si>
    <t>SP-3984</t>
  </si>
  <si>
    <t>TINNY CHUMS LATA DE REFRESCO DE VINIL C/SONIDO TIPO SQUEAKY 11cm  SHARPAW by SUNNY</t>
  </si>
  <si>
    <t>SP-3985</t>
  </si>
  <si>
    <t>TINNY CHUMS GALLETA TIPO HUESO DEVINIL C/SONIDO TIPO SQUEAKY 13.7cm  SHARPAW by SUNNY</t>
  </si>
  <si>
    <t>SP-3986</t>
  </si>
  <si>
    <t>TINNY CHUMS PESCADO DE VINIL C/SONIDO TIPO SQUEAKY 23.4cm  SHARPAW by SUNNY</t>
  </si>
  <si>
    <t>SP-3987</t>
  </si>
  <si>
    <t>TINNY CHUMS CERDITO DE VINIL C/SONIDO TIPO SQUEAKY 11cm SHARPAW by SUNNY</t>
  </si>
  <si>
    <t>SP-3988</t>
  </si>
  <si>
    <t>TINNY CHUMS PAVO DE VINIL C/SONIDO TIPO SQUEAKY 17.6cm  SHARPAW by SUNNY</t>
  </si>
  <si>
    <t>SP-3990</t>
  </si>
  <si>
    <t>TINNY CHUMS SANDALIA DE VINIL C/SONIDO TIPO SQUEAKY 15cm  SHARPAW by SUNNY</t>
  </si>
  <si>
    <t>SP-3991</t>
  </si>
  <si>
    <t>TINNY CHUMS PANTUNFLA CHICA DE VINIL C/SONIDO TIPO SQUEAKY 11cm  SHARPAW by SUNNY</t>
  </si>
  <si>
    <t>SP-3992</t>
  </si>
  <si>
    <t>TINNY CHUMS PANTUNFLA GRANDE DE VINIL C/SONIDO TIPO SQUEAKY 15cm SHARPAW by SUNNY</t>
  </si>
  <si>
    <t>SP-3993</t>
  </si>
  <si>
    <t>TINNY CHUMS BALON BASQUETBOL DE VINIL C/SOGA DE ALGODÓN Y SONIDO TIPO SQUEAKY 26cm  SHARPAW by SUNNY</t>
  </si>
  <si>
    <t>SP-3994</t>
  </si>
  <si>
    <t>TINNY CHUMS BALON FUTBOL DE VINIL C/SOGA DE ALGODÓN Y SONIDO TIPO SQUEAKY 26cm  SHARPAW by SUNNY</t>
  </si>
  <si>
    <t>SP-3995</t>
  </si>
  <si>
    <t>TINNY CHUMS BOLA DE BEISBOL DE VINIL C/SOGA DE ALGODÓN Y SONIDO TIPO SQUEAKY 26cm  SHARPAW by SUNNY</t>
  </si>
  <si>
    <t>SP-7852</t>
  </si>
  <si>
    <t>TINNY CHUMS FRISBEE DE GOMA TIPO ANILLO 10" (25.5cm- azul y naranja)  SHARPAW by SUNNY</t>
  </si>
  <si>
    <t>SP-7853</t>
  </si>
  <si>
    <t>TINNY CHUMS FRISBEE DE CAUCHO CHICO 7" (18cm- azul y amarillo)  SHARPAW by SUNNY</t>
  </si>
  <si>
    <t>SP-7854</t>
  </si>
  <si>
    <t>TINNY CHUMS FRISBEE DE CAUCHO GRANDE 9" (23cm-azul y amarillo) SHARPAW by SUNNY</t>
  </si>
  <si>
    <t>SFB-08</t>
  </si>
  <si>
    <t>COMEDERO IMPORTADO ACERO INOXIDABLE C/ANTIDERRAPANTE 8oz (apobrado por la  FDA)</t>
  </si>
  <si>
    <t>SFB-16</t>
  </si>
  <si>
    <t>COMEDERO IMPORTADO ACERO INOXIDABLE C/ANTIDERRAPANTE 16oz (aprobado por la FDA)</t>
  </si>
  <si>
    <t>SFB-24</t>
  </si>
  <si>
    <t>COMEDERO IMPORTADO ACERO INOXIDABLE C/ANTIDERRAPANTE 24oz (aprobado por la FDA)</t>
  </si>
  <si>
    <t>SFB-32</t>
  </si>
  <si>
    <t>COMEDERO IMPORTADO ACERO INOXIDABLE C/ANTIDERRAPANTE 32oz (apobrado por la FDA)</t>
  </si>
  <si>
    <t>SFB-64</t>
  </si>
  <si>
    <t>COMEDERO IMPORTADO ACERO INOXIDABLE C/ANTIDERRAPANTE 64oz (apobrado por la FDA)</t>
  </si>
  <si>
    <t>SFB-96</t>
  </si>
  <si>
    <t>COMEDERO IMPORTADO ACERO INOXIDABLE C/ANTIDERRAPANTE 96oz (apobrado por la FDA)</t>
  </si>
  <si>
    <t>SFB-081</t>
  </si>
  <si>
    <t>COMEDERO IMPORTADO ACERO INOXIDABLE C/ANTIDERRAPANTE 8oz (apobrado por la  FDA) AZUL MARINO</t>
  </si>
  <si>
    <t>SFB-161</t>
  </si>
  <si>
    <t>COMEDERO IMPORTADO ACERO INOXIDABLE C/ANTIDERRAPANTE 16oz (aprobado por la FDA) AZUL MARINO</t>
  </si>
  <si>
    <t>SFB-241</t>
  </si>
  <si>
    <t>COMEDERO IMPORTADO ACERO INOXIDABLE C/ANTIDERRAPANTE 24oz (aprobado por la FDA) AZUL MARINO</t>
  </si>
  <si>
    <t>SFB-321</t>
  </si>
  <si>
    <t>COMEDERO IMPORTADO ACERO INOXIDABLE C/ANTIDERRAPANTE 32oz (apobrado por la FDA) AZUL MARINO</t>
  </si>
  <si>
    <t>SFB-641</t>
  </si>
  <si>
    <t>COMEDERO IMPORTADO ACERO INOXIDABLE C/ANTIDERRAPANTE 64oz (apobrado por la FDA) AZUL MARINO</t>
  </si>
  <si>
    <t>SFB-961</t>
  </si>
  <si>
    <t>COMEDERO IMPORTADO ACERO INOXIDABLE C/ANTIDERRAPANTE 96oz (apobrado por la FDA) AZUL MARINO</t>
  </si>
  <si>
    <t>SFB-082</t>
  </si>
  <si>
    <t>COMEDERO IMPORTADO ACERO INOXIDABLE C/ANTIDERRAPANTE 8oz (apobrado por la  FDA) AZUL AQUA</t>
  </si>
  <si>
    <t>SFB-162</t>
  </si>
  <si>
    <t>COMEDERO IMPORTADO ACERO INOXIDABLE C/ANTIDERRAPANTE 16oz (aprobado por la FDA) AZUL AQUA</t>
  </si>
  <si>
    <t>SFB-242</t>
  </si>
  <si>
    <t>COMEDERO IMPORTADO ACERO INOXIDABLE C/ANTIDERRAPANTE 24oz (aprobado por la FDA) AZUL AQUA</t>
  </si>
  <si>
    <t>SFB-322</t>
  </si>
  <si>
    <t>COMEDERO IMPORTADO ACERO INOXIDABLE C/ANTIDERRAPANTE 32oz (apobrado por la FDA) AZUL AQUA</t>
  </si>
  <si>
    <t>SFB-642</t>
  </si>
  <si>
    <t>COMEDERO IMPORTADO ACERO INOXIDABLE C/ANTIDERRAPANTE 64oz (apobrado por la FDA) AZUL AQUA</t>
  </si>
  <si>
    <t>SFB-962</t>
  </si>
  <si>
    <t>COMEDERO IMPORTADO ACERO INOXIDABLE C/ANTIDERRAPANTE 96oz (apobrado por la FDA) AZUL AQUA</t>
  </si>
  <si>
    <t>SFB-083</t>
  </si>
  <si>
    <t>COMEDERO IMPORTADO ACERO INOXIDABLE C/ANTIDERRAPANTE 8oz (apobrado por la  FDA) ROJO</t>
  </si>
  <si>
    <t>SFB-163</t>
  </si>
  <si>
    <t>COMEDERO IMPORTADO ACERO INOXIDABLE C/ANTIDERRAPANTE 16oz (aprobado por la FDA) ROJO</t>
  </si>
  <si>
    <t>SFB-243</t>
  </si>
  <si>
    <t>COMEDERO IMPORTADO ACERO INOXIDABLE C/ANTIDERRAPANTE 24oz (aprobado por la FDA) ROJO</t>
  </si>
  <si>
    <t>SFB-323</t>
  </si>
  <si>
    <t>COMEDERO IMPORTADO ACERO INOXIDABLE C/ANTIDERRAPANTE 32oz (apobrado por la FDA) ROJO</t>
  </si>
  <si>
    <t>SFB-643</t>
  </si>
  <si>
    <t>COMEDERO IMPORTADO ACERO INOXIDABLE C/ANTIDERRAPANTE 64oz (apobrado por la FDA) ROJO</t>
  </si>
  <si>
    <t>SFB-963</t>
  </si>
  <si>
    <t>COMEDERO IMPORTADO ACERO INOXIDABLE C/ANTIDERRAPANTE 96oz (apobrado por la FDA) ROJO</t>
  </si>
  <si>
    <t>SFB-084</t>
  </si>
  <si>
    <t>COMEDERO IMPORTADO ACERO INOXIDABLE C/ANTIDERRAPANTE 8oz (apobrado por la  FDA) ROSA</t>
  </si>
  <si>
    <t>SFB-164</t>
  </si>
  <si>
    <t>COMEDERO IMPORTADO ACERO INOXIDABLE C/ANTIDERRAPANTE 16oz (aprobado por la FDA) ROSA</t>
  </si>
  <si>
    <t>SFB-244</t>
  </si>
  <si>
    <t>COMEDERO IMPORTADO ACERO INOXIDABLE C/ANTIDERRAPANTE 24oz (aprobado por la FDA) ROSA</t>
  </si>
  <si>
    <t>SFB-324</t>
  </si>
  <si>
    <t>COMEDERO IMPORTADO ACERO INOXIDABLE C/ANTIDERRAPANTE 32oz (apobrado por la FDA) ROSA</t>
  </si>
  <si>
    <t>SFB-644</t>
  </si>
  <si>
    <t>COMEDERO IMPORTADO ACERO INOXIDABLE C/ANTIDERRAPANTE 64oz (apobrado por la FDA) ROSA</t>
  </si>
  <si>
    <t>SFB-964</t>
  </si>
  <si>
    <t>COMEDERO IMPORTADO ACERO INOXIDABLE C/ANTIDERRAPANTE 96oz (apobrado por la FDA) ROSA</t>
  </si>
  <si>
    <t>SFB-085</t>
  </si>
  <si>
    <t>COMEDERO IMPORTADO ACERO INOXIDABLE C/ANTIDERRAPANTE 8oz (apobrado por la  FDA) ORO</t>
  </si>
  <si>
    <t>SFB-165</t>
  </si>
  <si>
    <t>COMEDERO IMPORTADO ACERO INOXIDABLE C/ANTIDERRAPANTE 16oz (aprobado por la FDA) ORO</t>
  </si>
  <si>
    <t>SFB-245</t>
  </si>
  <si>
    <t>COMEDERO IMPORTADO ACERO INOXIDABLE C/ANTIDERRAPANTE 24oz (aprobado por la FDA) ORO</t>
  </si>
  <si>
    <t>SFB-325</t>
  </si>
  <si>
    <t>COMEDERO IMPORTADO ACERO INOXIDABLE C/ANTIDERRAPANTE 32oz (apobrado por la FDA) ORO</t>
  </si>
  <si>
    <t>SFB-645</t>
  </si>
  <si>
    <t>COMEDERO IMPORTADO ACERO INOXIDABLE C/ANTIDERRAPANTE 64oz (apobrado por la FDA) ORO</t>
  </si>
  <si>
    <t>SFB-965</t>
  </si>
  <si>
    <t>COMEDERO IMPORTADO ACERO INOXIDABLE C/ANTIDERRAPANTE 96oz (apobrado por la FDA) ORO</t>
  </si>
  <si>
    <t>SFB-086</t>
  </si>
  <si>
    <t>COMEDERO IMPORTADO ACERO INOXIDABLE C/ANTIDERRAPANTE 8oz (apobrado por la  FDA) NEGRO</t>
  </si>
  <si>
    <t>SFB-166</t>
  </si>
  <si>
    <t>COMEDERO IMPORTADO ACERO INOXIDABLE C/ANTIDERRAPANTE 16oz (aprobado por la FDA) NEGRO</t>
  </si>
  <si>
    <t>SFB-246</t>
  </si>
  <si>
    <t>COMEDERO IMPORTADO ACERO INOXIDABLE C/ANTIDERRAPANTE 24oz (aprobado por la FDA) NEGRO</t>
  </si>
  <si>
    <t>SFB-326</t>
  </si>
  <si>
    <t>COMEDERO IMPORTADO ACERO INOXIDABLE C/ANTIDERRAPANTE 32oz (apobrado por la FDA) NEGRO</t>
  </si>
  <si>
    <t>SFB-646</t>
  </si>
  <si>
    <t>COMEDERO IMPORTADO ACERO INOXIDABLE C/ANTIDERRAPANTE 64oz (apobrado por la FDA) NEGRO</t>
  </si>
  <si>
    <t>SFB-966</t>
  </si>
  <si>
    <t>COMEDERO IMPORTADO ACERO INOXIDABLE C/ANTIDERRAPANTE 96oz (apobrado por la FDA) NEGRO</t>
  </si>
  <si>
    <t>SFB-80509</t>
  </si>
  <si>
    <t xml:space="preserve">COMEDERO MEDIDOR IMPORTADO ACERO INOXIDABLE MATE C/ANTIDERRAPANTE 16oz (aprobado por la FDA)  </t>
  </si>
  <si>
    <t>SFB-80510</t>
  </si>
  <si>
    <t xml:space="preserve">COMEDERO MEDIDOR IMPORTADO ACERO INOXIDABLE MATE C/ANTIDERRAPANTE 32oz (aprobado por la FDA)  </t>
  </si>
  <si>
    <t>SFB-80511</t>
  </si>
  <si>
    <t xml:space="preserve">COMEDERO MEDIDOR IMPORTADO ACERO INOXIDABLE MATE C/ANTIDERRAPANTE 64oz (aprobado por la FDA)  </t>
  </si>
  <si>
    <t>SFB-80512</t>
  </si>
  <si>
    <t>COMEDERO PARA ALIMENTACION LENTA IMPORTADO ACERO INOXIDABLE C/ANTIDERRAPANTE 32oz (aprobado por la FDA)</t>
  </si>
  <si>
    <t>SFB-80513</t>
  </si>
  <si>
    <t>COMEDERO PARA ALIMENTACION LENTA IMPORTADO ACERO INOXIDABLE C/ANTIDERRAPANTE 64oz (aprobado por la FDA)</t>
  </si>
  <si>
    <t>SFB-80514</t>
  </si>
  <si>
    <t>COMEDERO IMPORTADO ACERO INOXIDABLE MATE POR FUERA Y BRILLOSO POR DENTRO, BASE GRUESA ANTIDERRAPANTE 250ml (apobrado por la FDA)</t>
  </si>
  <si>
    <t>SFB-80515</t>
  </si>
  <si>
    <t>COMEDERO IMPORTADO ACERO INOXIDABLE MATE POR FUERA Y BRILLOSO POR DENTRO BASE GRUESA ANTIDERRAPANTE 400ml (apobrado por la FDA)</t>
  </si>
  <si>
    <t>SFB-80516</t>
  </si>
  <si>
    <t>COMEDERO IMPORTADO ACERO INOXIDABLE MATE POR FUERA Y BRILLOSO POR DENTRO BASE GRUESA ANTIDERRAPANTE 900ml (apobrado por la FDA)</t>
  </si>
  <si>
    <t>SFB-80517</t>
  </si>
  <si>
    <t>COMEDERO IMPORTADO ACERO INOXIDABLE MATE POR FUERA Y BRILLOSO POR DENTRO BASE GRUESA ANTIDERRAPANTE 1600ml (apobrado por la FDA)</t>
  </si>
  <si>
    <t>SFB-80518</t>
  </si>
  <si>
    <t>COMEDERO IMPORTADO ACERO INOXIDABLE MATE POR FUERA Y BRILLOSO POR DENTRO BASE GRUESA ANTIDERRAPANTE 2800ml (apobrado por la FDA)</t>
  </si>
  <si>
    <t>SFB-80523</t>
  </si>
  <si>
    <t>COMEDERO PARA DESTETE DE CAMADAS IMPORTADO ACERO INOXIDABLE 54oz / 15"(aprobado por la FDA)</t>
  </si>
  <si>
    <t>SFB-80524</t>
  </si>
  <si>
    <t>COMEDERO DOBLE CON BASE DE ACERO INOXIDABLE IMPORTADO 8oz(aprobado por la FDA)</t>
  </si>
  <si>
    <t>SFB-80525</t>
  </si>
  <si>
    <t>COMEDERO DOBLE CON BASE DE ACERO INOXIDABLE IMPORTADO 16oz(aprobado por la FDA)</t>
  </si>
  <si>
    <t>SFB-80526</t>
  </si>
  <si>
    <t>COMEDERO DOBLE CON BASE DE ACERO INOXIDABLE IMPORTADO 32oz(aprobado por la FDA)</t>
  </si>
  <si>
    <t>SFB-80527</t>
  </si>
  <si>
    <t>COMEDERO DOBLE CON BASE DE ACERO INOXIDABLE IMPORTADO 64oz(aprobado por la FDA)</t>
  </si>
  <si>
    <t>SFB-80528</t>
  </si>
  <si>
    <t>COMEDERO DOBLE IMPORTADO DE ACERO INOXIDABLE 64oz CON BASE DE PLASTICO (aprobado por la FDA)</t>
  </si>
  <si>
    <t>SP-3651</t>
  </si>
  <si>
    <t>DISPENSADOR CHICO DE ALIMENTO C/GARRAFON IMPORTADO SUNNY CAPACIDAD 2.3kg (6 colores)</t>
  </si>
  <si>
    <t>SP-3652</t>
  </si>
  <si>
    <t>DISPENSADOR CHICO DE AGUA C/GARRAFON  IMPORTADO SUNNY CAPACIDAD 3.8 L (6 colores)</t>
  </si>
  <si>
    <t>SP-3668</t>
  </si>
  <si>
    <t>DISPENSADOR GRANDE DE ALIMENTO C/GARRAFON IMPORTADO SUNNY CAPACIDAD 6.8kg (5 colores)</t>
  </si>
  <si>
    <t>SP-3669</t>
  </si>
  <si>
    <t>DISPENSADOR GRANDE DE AGUA C/GARRAFON  IMPORTADO SUNNY CAPACIDAD 11.4 L (5 colores)</t>
  </si>
  <si>
    <t>SFB-E</t>
  </si>
  <si>
    <t>EXHIBIDOR DE PLATOS SUNNY</t>
  </si>
  <si>
    <t>SPC-400</t>
  </si>
  <si>
    <r>
      <rPr>
        <rFont val="Tahoma"/>
        <color theme="1"/>
        <sz val="9.0"/>
      </rPr>
      <t xml:space="preserve">TRANSPORTADORA SUPER ECONOMICA P/MASCOTAS IMPORTADA </t>
    </r>
    <r>
      <rPr>
        <rFont val="Tahoma"/>
        <b/>
        <color theme="1"/>
        <sz val="9.0"/>
        <u/>
      </rPr>
      <t>PUERTA METALICA</t>
    </r>
    <r>
      <rPr>
        <rFont val="Tahoma"/>
        <color theme="1"/>
        <sz val="9.0"/>
      </rPr>
      <t xml:space="preserve"> V/COLORES 45X30X29cm</t>
    </r>
  </si>
  <si>
    <t>SPC-450</t>
  </si>
  <si>
    <r>
      <rPr>
        <rFont val="Tahoma"/>
        <color theme="1"/>
        <sz val="9.0"/>
      </rPr>
      <t xml:space="preserve">TRANSPORTADORA SUPER ECONOMICA P/MASCOTAS IMPORTADA </t>
    </r>
    <r>
      <rPr>
        <rFont val="Tahoma"/>
        <b/>
        <color theme="1"/>
        <sz val="9.0"/>
        <u/>
      </rPr>
      <t>PUERTA METALICA</t>
    </r>
    <r>
      <rPr>
        <rFont val="Tahoma"/>
        <color theme="1"/>
        <sz val="9.0"/>
      </rPr>
      <t xml:space="preserve"> V/COLORES 55X38.5X35.2cm</t>
    </r>
  </si>
  <si>
    <t>SPC-950</t>
  </si>
  <si>
    <r>
      <rPr>
        <rFont val="Tahoma"/>
        <color theme="1"/>
        <sz val="9.0"/>
      </rPr>
      <t xml:space="preserve">TRANSPORTADORA SUPER ECONOMICA KENNEL GRANDE P/PERRO IMPORTADA  </t>
    </r>
    <r>
      <rPr>
        <rFont val="Tahoma"/>
        <b/>
        <color theme="1"/>
        <sz val="9.0"/>
        <u/>
      </rPr>
      <t>PUERTA METALICA</t>
    </r>
    <r>
      <rPr>
        <rFont val="Tahoma"/>
        <color theme="1"/>
        <sz val="9.0"/>
      </rPr>
      <t xml:space="preserve"> 90X60X68</t>
    </r>
  </si>
  <si>
    <t>SPC-01</t>
  </si>
  <si>
    <t>TRANSPORTADORA ECONOMICA P/PERRO SUNNY IMPORTADA 1 PUERTA 50 X 34 X 32cm C/TAPETE</t>
  </si>
  <si>
    <t>SPC-01B</t>
  </si>
  <si>
    <t>TRANSPORTADORA ECONOMICA P/PERRO SUNNY IMPORTADA COLOR AZUL  CIELO 1 PUERTA 50 X 34 X 32cm C/TAPETE</t>
  </si>
  <si>
    <t>SPC-01P</t>
  </si>
  <si>
    <t>TRANSPORTADORA ECONOMICA P/PERRO COLOR ROSA SUNNY IMPORTADA 1 PUERTA 50 X 34 X 32cm C/TAPETE</t>
  </si>
  <si>
    <t>SPC-02</t>
  </si>
  <si>
    <t>TRANSPORTADORA ECONOMICA P/PERRO SUNNY IMPORTADA  2 PUERTAS 50 X 34 X 32cm C/TAPETE</t>
  </si>
  <si>
    <t>SPC-03</t>
  </si>
  <si>
    <t>TRANSPORTADORA CHICA P/PERRO SUNNY IMPORTADA 61 X 40 X 39cm C/TAPETE</t>
  </si>
  <si>
    <t>SPC-03B</t>
  </si>
  <si>
    <t>TRANSPORTADORA CHICA P/PERRO SUNNY IMPORTADA AZUL CIELO 61 X 40 X 39cm C/TAPETE</t>
  </si>
  <si>
    <t>SPC-03P</t>
  </si>
  <si>
    <t>TRANSPORTADORA CHICA P/PERRO SUNNY IMPORTADA ROSA 61 X 40 X 39cm C/TAPETE</t>
  </si>
  <si>
    <t>SPC-04</t>
  </si>
  <si>
    <t>TRANSPORTADORA MEDIANA P/PERRO SUNNY IMPORTADA 67.5 X 51 X 47cm C/TAPETE</t>
  </si>
  <si>
    <t>SPC-05</t>
  </si>
  <si>
    <t>TRANSPORTADORA GRANDE P/PERRO SUNNY IMPORTADA 80 X 56 X 58.5cm C/TAPETE</t>
  </si>
  <si>
    <t>SPC-06</t>
  </si>
  <si>
    <t>TRANSPORTADORA EXTRA GRANDE P/PERRO SUNNY IMPORTADA 100 X 67 X 75cm C/TAPETE</t>
  </si>
  <si>
    <t>SPC-500</t>
  </si>
  <si>
    <t>TRANSPORTADORA KENNEL EXTRA CHICA  P/PERRO IMPORTADA  50.7X33.5X33.2</t>
  </si>
  <si>
    <t>SPC-600</t>
  </si>
  <si>
    <t>TRANSPORTADORA KENNEL CHICA P/PERRO IMPORTADA  60.7X40X40.5</t>
  </si>
  <si>
    <t>SPC-602</t>
  </si>
  <si>
    <t>TRANSPORTADORA KENNEL CHICA P/PERRO IMPORTADA  2 PUERTAS 60.7X40X40.5</t>
  </si>
  <si>
    <t>SPC-650</t>
  </si>
  <si>
    <t>TRANSPORTADORA KENNEL DELUXE CHICA P/PERRO IMPORTADA 61.0X42.5X40.9</t>
  </si>
  <si>
    <t>SPC-700</t>
  </si>
  <si>
    <t>TRANSPORTADORA KENNEL MEDIANA P/PERRO IMPORTADA  69X51X47</t>
  </si>
  <si>
    <t>SPC-800</t>
  </si>
  <si>
    <t>TRANSPORTADORA KENNEL INTERMEDIA P/PERRO IMPORTADA  81X56X59 (incluye set de ruedas)</t>
  </si>
  <si>
    <t>SPC-900</t>
  </si>
  <si>
    <t>TRANSPORTADORA KENNEL GRANDE P/PERRO IMPORTADA  90X60X68 (incluye set de ruedas)</t>
  </si>
  <si>
    <t>SPC-1000</t>
  </si>
  <si>
    <t>TRANSPORTADORA KENNEL EXTRAGRANDE P/PERRO IMPORTADA  100X67X75 (incluye set de ruedas)</t>
  </si>
  <si>
    <t>SPC-1200</t>
  </si>
  <si>
    <t>TRANSPORTADORA KENNEL JUMBO P/PERRO IMPORTADA  122X83X90 (incluye set de ruedas)</t>
  </si>
  <si>
    <t>SPC-950W</t>
  </si>
  <si>
    <t>SET DE RUEDAS PARA TRANSPORTADORA MODELO SPC-950</t>
  </si>
  <si>
    <t>SDH-400</t>
  </si>
  <si>
    <t xml:space="preserve">CASA IMPORTADA PARA PERRO SUNNY 60X46X43cm  </t>
  </si>
  <si>
    <t>SDH-500</t>
  </si>
  <si>
    <t xml:space="preserve">CASA IMPORTADA PARA PERRO SUNNY 72.9X57.4X52.7cm  </t>
  </si>
  <si>
    <t>SDH-501</t>
  </si>
  <si>
    <t xml:space="preserve">CASA IMPORTADA PARA PERRO SUNNY 87.6X63.4X63.8cm  </t>
  </si>
  <si>
    <t>SDH-502</t>
  </si>
  <si>
    <t xml:space="preserve">CASA IMPORTADA PARA PERRO SUNNY 100.4X74.5X76.5cm </t>
  </si>
  <si>
    <t>SDH-503</t>
  </si>
  <si>
    <t>CASA IMPORTADA PARA PERRO SUNNY C/TEJA 74 X 48 X 66,5cm PUERTA METALICA INCLUIDA</t>
  </si>
  <si>
    <t>SDH-504</t>
  </si>
  <si>
    <t xml:space="preserve">CASA IMPORTADA PARA PERRO SUNNY C/TEJA 117 X 82 X 114cm PUERTA METALICA INCLUIDA </t>
  </si>
  <si>
    <t>SDH-505</t>
  </si>
  <si>
    <t xml:space="preserve">CASA IMPORTADA PARA PERRO SUNNY C/TEJA (TECHO ROJO, AZUL) 87 X 72 X 75cm PUERTA METALICA INCLUIDA </t>
  </si>
  <si>
    <t>SDH-506</t>
  </si>
  <si>
    <t xml:space="preserve">CASA IMPORTADA PARA PERRO SUNNY C/TEJA (TECHO ROJO, AZUL) 74 X 45 X 67cm PUERTA METALICA INCLUIDA </t>
  </si>
  <si>
    <t>SDH-507</t>
  </si>
  <si>
    <t xml:space="preserve">CASA IMPORTADA PARA PERRO SUNNY C/TEJA (TECHO ROJO, AZUL) 117 X 97 X 113cm PUERTA METALICA INCLUIDA </t>
  </si>
  <si>
    <t>SDH-400P</t>
  </si>
  <si>
    <t>PUERTA PVC PARA CASA SDH-400</t>
  </si>
  <si>
    <t>SDH-500P</t>
  </si>
  <si>
    <t>PUERTA PVC PARA CASA SDH-500</t>
  </si>
  <si>
    <t>SDH-501P</t>
  </si>
  <si>
    <t>PUERTA PVC PARA CASA SDH-501</t>
  </si>
  <si>
    <t>SDH-502P</t>
  </si>
  <si>
    <t>PUERTA PVC PARA CASA SDH-502</t>
  </si>
  <si>
    <t>SP-3818</t>
  </si>
  <si>
    <t>TAPETE SANITARIO IMPORTADO INDOOR PUPPY (MINI) 40 X 50cm     (incluye pasto sintetico, rejilla antihumedad y charola)</t>
  </si>
  <si>
    <t>SP-3806</t>
  </si>
  <si>
    <t>TAPETE SANITARIO IMPORTADO INDOOR PUPPY (CHICO) 43 X 68cm     (incluye pasto sintetico, rejilla antihumedad y charola)</t>
  </si>
  <si>
    <t>SP-3807</t>
  </si>
  <si>
    <t>TAPETE SANITARIO IMPORTADO INDOOR PUPPY (GRANDE) 51 X 76cm  (incluye pasto sintetico, rejilla antihumedad y charola)</t>
  </si>
  <si>
    <t>SP-3818R</t>
  </si>
  <si>
    <t>PASTO SINTETICO DE REPUESTO PARA TAPETE SANITARIO SP-3818</t>
  </si>
  <si>
    <t>SP-3806R</t>
  </si>
  <si>
    <t>PASTO SINTETICO DE REPUESTO PARA TAPETE SANITARIO SP-3806</t>
  </si>
  <si>
    <t>SP-3807R</t>
  </si>
  <si>
    <t>PASTO SINTETICO DE REPUESTO PARA TAPETE SANITARIO SP-3811</t>
  </si>
  <si>
    <t>SP-3808</t>
  </si>
  <si>
    <t>ALMOHADILLAS ENTRENADORAS IMPORTADAS ULTRA-ABSORBENTES C/6CAPAS Y ADHESIVO ANTIDERRAPANTE (8pcs) 58x58cm</t>
  </si>
  <si>
    <t>SP-3809</t>
  </si>
  <si>
    <t>ALMOHADILLAS ENTRENADORAS IMPORTADAS ULTRA-ABSORBENTES C/6CAPAS Y ADHESIVO ANTIDERRAPANTE (15pcs) 58x58cm</t>
  </si>
  <si>
    <t>SP-80574</t>
  </si>
  <si>
    <t>ALMOHADILLAS ENTRENADORAS IMPORTADAS ULTRA-ABSORBENTES C/6CAPAS Y ADHESIVO ANTIDERRAPANTE (50pcs) 58x58cm</t>
  </si>
  <si>
    <t>SP-80575</t>
  </si>
  <si>
    <t>ALMOHADILLAS ENTRENADORAS IMPORTADAS ULTRA-ABSORBENTES C/6CAPAS Y ADHESIVO ANTIDERRAPANTE (100pcs) 58x58cm</t>
  </si>
  <si>
    <t>SP-3811</t>
  </si>
  <si>
    <t>ALMOHADILLAS ENTRENADORAS IMPORTADAS ULTRA-ABSORBENTES C/6CAPAS Y ADHESIVO ANTIDERRAPANTE (15pcs) 60x75cm</t>
  </si>
  <si>
    <t>SP-80576</t>
  </si>
  <si>
    <t>ALMOHADILLAS ENTRENADORAS IMPORTADAS ULTRA-ABSORBENTES C/6CAPAS Y ADHESIVO ANTIDERRAPANTE (50pcs) 60x75cm</t>
  </si>
  <si>
    <t>SP-80577</t>
  </si>
  <si>
    <t>ALMOHADILLAS ENTRENADORAS IMPORTADAS ULTRA-ABSORBENTES C/6CAPAS Y ADHESIVO ANTIDERRAPANTE (100pcs) 60x75cm</t>
  </si>
  <si>
    <t>SP-7833</t>
  </si>
  <si>
    <t>BOLSAS BIODEGRADABLES IMPORTADAS SUNNY SET 3 ROLLOS C/15 BOLSAS C/U (45 BOLSAS 15mic) + DISPENSADOR</t>
  </si>
  <si>
    <t>SP-7834</t>
  </si>
  <si>
    <t xml:space="preserve">BOLSAS BIODEGRADABLES IMPORTADAS SUNNY SET DE 4 ROLLOS X 15 BOLSAS (60 BOLSAS 15mic) </t>
  </si>
  <si>
    <t>SP-7835</t>
  </si>
  <si>
    <t xml:space="preserve">BOLSAS BIODEGRADABLES IMPORTADAS SUNNY SET DE 8 ROLLOS X 15 BOLSAS (120 BOLSAS 15mic) </t>
  </si>
  <si>
    <t>SP-7836</t>
  </si>
  <si>
    <t>BOLSAS BIODEGRADABLES IMPORTADAS SUNNY SET DE 24 ROLLOS X 15 BOLSAS (360 BOLSAS 15mic) + DISPENSADOR</t>
  </si>
  <si>
    <t>DWB-1000</t>
  </si>
  <si>
    <t>JAULA METALICA SUNNY PLEGABLE IMPORTADA P/PERRO (nuevo acabado)2 puertas 46.5X31X35.8cm (incluye rejilla de piso y divisora de entrenamiento)</t>
  </si>
  <si>
    <t>DWB-2000</t>
  </si>
  <si>
    <t>JAULA METALICA SUNNY PLEGABLE IMPORTADA P/PERRO (nuevo acabado) 2 puertas 62.5X44X48.5cm (incluye rejilla de piso y divisora de entrenamiento)</t>
  </si>
  <si>
    <t>DWB-3000</t>
  </si>
  <si>
    <t>JAULA METALICA SUNNY PLEGABLE IMPORTADA P/PERRO (nuevo acabado) 2 puertas 76.5X48X53.5cm (incluye rejilla de piso y divisora de entrenamiento)</t>
  </si>
  <si>
    <t>DWB-4000</t>
  </si>
  <si>
    <t>JAULA METALICA SUNNY PLEGABLE IMPORTADA P/PERRO (nuevo acabado) 2 puertas 92X57X62cm (incluye rejilla de piso y divisora de entrenamiento)</t>
  </si>
  <si>
    <t>DWB-5000</t>
  </si>
  <si>
    <t>JAULA METALICA SUNNY PLEGABLE IMPORTADA P/PERRO (nuevo acabado) 2 puertas 100.7X70X75cm (incluye rejilla de piso y divisora de entrenamiento)</t>
  </si>
  <si>
    <t>DWB-6000</t>
  </si>
  <si>
    <t>JAULA METALICA SUNNY PLEGABLE IMPORTADA P/PERRO (nuevo acabado) 2 puertas 122.57X75X81.5cm (incluye rejilla de piso y divisora de entrenamiento)</t>
  </si>
  <si>
    <t>DOG-1000</t>
  </si>
  <si>
    <t>JAULA METALICA DOGGY PLEGABLE IMPORTADA P/PERRO  2 puertas 46.5X31X35.8cm (incluye rejilla de piso y divisora de entrenamiento)</t>
  </si>
  <si>
    <t>DOG-2000</t>
  </si>
  <si>
    <t>JAULA METALICA DOGGY PLEGABLE IMPORTADA P/PERRO 2 puertas 62.5X44X48.5cm (incluye rejilla de piso y divisora de entrenamiento)</t>
  </si>
  <si>
    <t>DOG-3000</t>
  </si>
  <si>
    <t>JAULA METALICA DOGGY PLEGABLE IMPORTADA P/PERRO 2 puertas 76.5X48X53.5cm (incluye rejilla de piso y divisora de entrenamiento)</t>
  </si>
  <si>
    <t>DOG-4000</t>
  </si>
  <si>
    <t>JAULA METALICA DOGGY PLEGABLE IMPORTADA P/PERRO 2 puertas 92X57X62cm (incluye rejilla de piso y divisora de entrenamiento)</t>
  </si>
  <si>
    <t>DOG-5000</t>
  </si>
  <si>
    <t>JAULA METALICA DOGGY PLEGABLE IMPORTADA P/PERRO 2 puertas 100.7X70X75cm (incluye rejilla de piso y divisora de entrenamiento)</t>
  </si>
  <si>
    <t>DOG-6000</t>
  </si>
  <si>
    <t>JAULA METALICA DOGGY PLEGABLE IMPORTADA P/PERRO 2 puertas 122.57X75X81.5cm (incluye rejilla de piso y divisora de entrenamiento)</t>
  </si>
  <si>
    <t>SP-2800</t>
  </si>
  <si>
    <t>JAULA METALICA SUNNY ESTIBABLE C/PISO PLASTICO 37" (94cm) incluye 2 comederos de acero inoxidable</t>
  </si>
  <si>
    <t>SP-2801</t>
  </si>
  <si>
    <t>JAULA METALICA DOBLE SUNNY ESTIBABLE C/PISO PLASTICO 43" (109cm) incluye 2 comederos de acero inoxidable</t>
  </si>
  <si>
    <t>SP-2848</t>
  </si>
  <si>
    <t xml:space="preserve">CUNA METALICA SUNNY IMPORTADA PUPPY CRIB 43" (109cm) PARA ENSAMBLE EN JAULA SP-2801 </t>
  </si>
  <si>
    <t>SP-7841</t>
  </si>
  <si>
    <t xml:space="preserve">CUNA METALICA SUNNY IMPORTADA PUPPY CRIB 37" (94cm)  PARA ENSAMBLE EN JAULA SP-2800 </t>
  </si>
  <si>
    <t>SP-2802</t>
  </si>
  <si>
    <t>CORRAL METALICO SUNNY PLEGABLE IMPORTADO DE 8 PANELES 24" (61cm)</t>
  </si>
  <si>
    <t>SP-2803</t>
  </si>
  <si>
    <t>CORRAL METALICO SUNNY PLEGABLE IMPORTADO DE 8 PANELES 30" (76cm)</t>
  </si>
  <si>
    <t>SP-2804</t>
  </si>
  <si>
    <t>CORRAL METALICO SUNNY PLEGABLE IMPORTADO DE 8 PANELES 36" (91cm)</t>
  </si>
  <si>
    <t>SP-2805</t>
  </si>
  <si>
    <t>CORRAL METALICO SUNNY PLEGABLE IMPORTADO DE 8 PANELES 42" (107cm)</t>
  </si>
  <si>
    <t>SP-2806</t>
  </si>
  <si>
    <t>CORRAL METALICO SUNNY PLEGABLE IMPORTADO DE 8 PANELES 48" (122cm)</t>
  </si>
  <si>
    <t>STW-01</t>
  </si>
  <si>
    <t>TOALLA MULTIUSOS SUPER ABSORBENTE IMPORTADA PETUNIUS 43X32cm (AMARILLA)</t>
  </si>
  <si>
    <t>STW-03</t>
  </si>
  <si>
    <t>TOALLA MULTIUSOS SUPER ABSORBENTE IMPORTADA PETUNIUS 66X43cm (AMARILLA)</t>
  </si>
  <si>
    <t>STW-05</t>
  </si>
  <si>
    <t>TOALLA MULTIUSOS SUPER ABSORBENTE IMPORTADA PETUNIUS 80X34cm (AMARILLA)</t>
  </si>
  <si>
    <t>SDB-01</t>
  </si>
  <si>
    <t xml:space="preserve">CARDA CHICA IMPORTADA PARA PERRO PETUNIUS by SUNNY </t>
  </si>
  <si>
    <t>SDB-02</t>
  </si>
  <si>
    <t xml:space="preserve">CARDA MED IMPORTADA PARA PERRO PETUNIUS by SUNNY </t>
  </si>
  <si>
    <t>SDB-03</t>
  </si>
  <si>
    <t xml:space="preserve">CARDA GDE IMPORTADA PARA PERRO PETUNIUS by SUNNY </t>
  </si>
  <si>
    <t>SDB-01B</t>
  </si>
  <si>
    <t>CARDA CHICA IMPORTADA PARA PERRO PETUNIUS by SUNNY  C/BLISTER</t>
  </si>
  <si>
    <t>SDB-02B</t>
  </si>
  <si>
    <t>CARDA MED IMPORTADA PARA PERRO PETUNIUS by SUNNY  C/BLISTER</t>
  </si>
  <si>
    <t>SDB-03B</t>
  </si>
  <si>
    <t>CARDA GDE IMPORTADA PARA PERRO PETUNIUS by SUNNY  C/BLISTER</t>
  </si>
  <si>
    <t>SP-2868</t>
  </si>
  <si>
    <t>CARDA REFORZADA FLEX GDE PETUNIUS by SUNNY  (pelo largo y pelo corto)</t>
  </si>
  <si>
    <t>SP-2869</t>
  </si>
  <si>
    <t>CARDA REFORZADA FLEX CH PETUNIUS by SUNNY  (pelo largo y pelo corto)</t>
  </si>
  <si>
    <t>SP-2870</t>
  </si>
  <si>
    <t>CEPILLO-CARDA DUO FLEX PETUNIUS by SUNNY (pelo largo y pelo corto)</t>
  </si>
  <si>
    <t>SP-2871</t>
  </si>
  <si>
    <t>CEPILLO DOBLE FLEX PETUNIUS by SUNNY CON PUNTAS DE ESFERA (pelo largo y pelo corto)</t>
  </si>
  <si>
    <t>SP-2872</t>
  </si>
  <si>
    <t>RASTRILLO DOBLE CURVO FLEX PETUNIUS by SUNNY CON PUNTAS REDONDEADAS FIJAS 13cortas + 14 largas (pelo largo y pelo corto)</t>
  </si>
  <si>
    <t>SP-2873</t>
  </si>
  <si>
    <t>RASTRILLO CURVO FLEX PETUNIUS by SUNNY CON PUNTAS REDONDEADAS FIJAS 14puntas largas (pelo largo y pelo corto)</t>
  </si>
  <si>
    <t>SP-2874</t>
  </si>
  <si>
    <t>ROMPENUDOS FLEX PETUNIUS by SUNNY 13 CUCHILLAS (pelo largo)</t>
  </si>
  <si>
    <t>SP-2875</t>
  </si>
  <si>
    <t>CEPILLO CON SISTEMA DE AUTOLIMPIEZA PETUNIUS by SUNNY CON PUNTAS DE ESFERA (pelo largo y pelo corto)</t>
  </si>
  <si>
    <t>SP-2876</t>
  </si>
  <si>
    <t>CARDA CON SISTEMA DE AUTOLIMPIEZA CH PETUNIUS by SUNNY  (pelo largo y pelo corto)</t>
  </si>
  <si>
    <t>SP-2877</t>
  </si>
  <si>
    <t>CARDA CON SISTEMA DE AUTOLIMPIEZA GDE PETUNIUS by SUNNY  (pelo largo y pelo corto)</t>
  </si>
  <si>
    <t>SP-2878</t>
  </si>
  <si>
    <t>CARDA REFORZADA GDE PETUNIUS by SUNNY CON MARCO METALICO (pelo largo y pelo corto)</t>
  </si>
  <si>
    <t>SP-2879</t>
  </si>
  <si>
    <t>CARDA REFORZADA MED PETUNIUS by SUNNY CON MARCO METALICO (pelo largo y pelo corto)</t>
  </si>
  <si>
    <t>SP-2880</t>
  </si>
  <si>
    <t>CARDA REFORZADA CH PETUNIUS by SUNNY CON MARCO METALICO (pelo largo y pelo corto)</t>
  </si>
  <si>
    <t>SP-2881</t>
  </si>
  <si>
    <t>CARDA CON CERDAS DE GOMA GDE PETUNIUS by SUNNY (pelo largo y pelo corto)</t>
  </si>
  <si>
    <t>SP-2882</t>
  </si>
  <si>
    <t>CARDA CON CERDAS DE GOMA CH PETUNIUS by SUNNY (pelo largo y pelo corto)</t>
  </si>
  <si>
    <t>SP-2883</t>
  </si>
  <si>
    <t>CARDA REPORZADA GDE PETUNIUS by SUNNY (pelo largo y pelo corto)</t>
  </si>
  <si>
    <t>SP-2884</t>
  </si>
  <si>
    <t>CARDA REPORZADA CH PETUNIUS by SUNNY (pelo largo y pelo corto)</t>
  </si>
  <si>
    <t>SP-2885</t>
  </si>
  <si>
    <t>CARDA FIRME DOBLE REFORZADA PETUNIUS by SUNNY (pelo largo y pelo corto)</t>
  </si>
  <si>
    <t>SP-2886</t>
  </si>
  <si>
    <t>CEPILLO DOBLE OVAL REPORZADO PETUNIUS by SUNNY  CON PUNTAS DE ESFERA (pelo largo y pelo corto)</t>
  </si>
  <si>
    <t>SP-2887</t>
  </si>
  <si>
    <t>CEPILLO DOBLE RECTANGULAR REFORZADO PETUNIUS by SUNNY CON PUNTAS DE ESFERA (pelo largo y pelo corto)</t>
  </si>
  <si>
    <t>SP-2888</t>
  </si>
  <si>
    <t>CARDA OVAL TIPO CEPILLO PETUNIUS by SUNNY (pelo corto)</t>
  </si>
  <si>
    <t>SP-2889</t>
  </si>
  <si>
    <t>ROMPENUDOS DE 9 CUCHILLAS PETUNIUS by SUNNY (pelo largo)</t>
  </si>
  <si>
    <t>SP-2890</t>
  </si>
  <si>
    <t>DESLANADOR DUO  PETUNIUS by SUNNY CON PUNTAS REDONDEADAS  FIJAS 12 CUCHILLAS +23 CUCHILLAS (pelo largo y pelo corto)</t>
  </si>
  <si>
    <t>SP-2891</t>
  </si>
  <si>
    <t>ROMPENUDOS DE 6 CUCHILLAS PETUNIUS by SUNNY (pelo largo y pelo corto)</t>
  </si>
  <si>
    <t>SP-2892</t>
  </si>
  <si>
    <t>ROMPENUDOS DE 10 CUCHILLAS PETUNIUS by SUNNY (pelo largo y pelo corto)</t>
  </si>
  <si>
    <t>SP-2893</t>
  </si>
  <si>
    <t>ROMPENUDOS PETUNIUS by SUNNY (pelo largo y pelo corto)</t>
  </si>
  <si>
    <t>SP-2894</t>
  </si>
  <si>
    <t>GUANTE DE GOMA PETUNIUS by SUNNY CON MALLA ANTITRANSPIRANTE  DE SECADO RAPIDO (pelo largo y pelo corto)</t>
  </si>
  <si>
    <t>SP-2895</t>
  </si>
  <si>
    <t>GUANTE DE CEPILLADO PETUNIUS by SUNNY CON PUNTAS DE ESFERA Y MALLA ANTITRANSPIRANTE DE SECADO RAPIDO (pelo largo)</t>
  </si>
  <si>
    <t>SP-2896</t>
  </si>
  <si>
    <t>PEINE METALICO DUO COLOR GDE PETUNIUS by SUNNY CON PUNTAS REDONDAS FIJAS  25cm (pelo largo y pelo corto)</t>
  </si>
  <si>
    <t>SP-2897</t>
  </si>
  <si>
    <t>PEINE METALICO DUO COLOR CH PETUNIUS by SUNNY CON PUNTAS REDONDAS FIJAS  19cm (pelo largo y pelo corto)</t>
  </si>
  <si>
    <t>SP-2898</t>
  </si>
  <si>
    <t>PEINE METALICO PETUNIUS by SUNNY CON PUNTAS FIJAS 19cm (pelo largo y pelo corto)</t>
  </si>
  <si>
    <t>SP-2899</t>
  </si>
  <si>
    <t>PEINE METALICO DUO PETUNIUS by SUNNY CON PUNTAS FIJAS 19cm (pelo largo y pelo corto)</t>
  </si>
  <si>
    <t>SP-7800</t>
  </si>
  <si>
    <t>PEINE METALICO PETUNIUS by SUNNY CON PUNTAS FIJAS 26cm (pelo largo y pelo corto)</t>
  </si>
  <si>
    <t>SP-7801</t>
  </si>
  <si>
    <t>PEINE METALICO CON MANGO ANTIDERRAPANTE PETUNIUS by SUNNY CON PUNTAS FIJAS DE 20 DIENTES (pelo largo y pelo corto)</t>
  </si>
  <si>
    <t>SP-7802</t>
  </si>
  <si>
    <t>PEINE METALICO CON MANGO ANTIDERRAPANTE PETUNIUS by SUNNY CON PUNTAS FIJAS DE 45 DIENTES (pelo largo y pelo corto)</t>
  </si>
  <si>
    <t>SP-7803</t>
  </si>
  <si>
    <t>PEINE METALICO DOBLE PETUNIUS by SUNNY CON MANGO ANTIDERRAPANTE 18 DIENTES CORTOS + 19 LARGOS (pelo largo y pelo corto)</t>
  </si>
  <si>
    <t>SP-7804</t>
  </si>
  <si>
    <t>PEINE METALICO DOBLE PETUNIUS by SUNNY CON MANGO ANTIDERRAPANTE 19 + 30 DIENTES  (pelo largo y pelo corto)</t>
  </si>
  <si>
    <t>SP-7805</t>
  </si>
  <si>
    <t>RODILLO REMOVEDOR DE PELO PETUNIUS by SUNNY ADSORCION ELECTROSTATICA</t>
  </si>
  <si>
    <t>SP-7806</t>
  </si>
  <si>
    <t>CORTAUÑAS DELUX TIPO GUILLOTINA CON LED INTEGRADA C/LIMA PETUNIUS by SUNNY (perros medianos y grandes)</t>
  </si>
  <si>
    <t>SP-7807</t>
  </si>
  <si>
    <t>CORTAUÑAS DELUX  DE PINZA CON LED INTEGRADA C/LIMA PETUNIUS by SUNNY (perros medianos y grandes)</t>
  </si>
  <si>
    <t>SP-7808</t>
  </si>
  <si>
    <t>CORTAUÑAS DE PINZA PETUNIUS by SUNNY  (perros medianos y grandes)</t>
  </si>
  <si>
    <t>SP-7827</t>
  </si>
  <si>
    <t>DESLANADOR DE NAVAJA MED PETUNIUS by SUNNY   8,5cm (pelo largo y pelo corto)</t>
  </si>
  <si>
    <t>SP-7828</t>
  </si>
  <si>
    <t>DESLANADOR DE NAVAJA GDE PETUNIUS by SUNNY  11cm (pelo largo y pelo corto)</t>
  </si>
  <si>
    <t>SP-7830</t>
  </si>
  <si>
    <t>GUANTE DE GOMA PETUNIUS by SUNNY MANO DERECHA CON MALLA ANTITRASPIRANTE  DE SECADO RAPIDO (pelo largo y pelo corto)</t>
  </si>
  <si>
    <t>SP-7832</t>
  </si>
  <si>
    <t>GUANTE DE GOMA PETUNIUS by SUNNY MANO IZQUIERDA CON MALLA ANTITRASPIRANTE  DE SECADO RAPIDO (pelo largo y pelo corto)</t>
  </si>
  <si>
    <t>SP-3750</t>
  </si>
  <si>
    <t>JUGUETE PARA GATOS PAWFFY RASCADERO C/ SONAJA</t>
  </si>
  <si>
    <t>SP-3751</t>
  </si>
  <si>
    <t>JUGUETE PARA GATOS PAWFFY  PAJARO DE PELUCHE CON PLUMAS</t>
  </si>
  <si>
    <t>SP-3752</t>
  </si>
  <si>
    <t>JUGUETE PARA GATOS PAWFFY CUYO PELUCHE VIBRADOR</t>
  </si>
  <si>
    <t>SP-3753</t>
  </si>
  <si>
    <t>JUGUETE PARA GATOS PAWFFY  SOGA C/TELA C/SONAJA</t>
  </si>
  <si>
    <t>SP-3754</t>
  </si>
  <si>
    <t>JUGUETE PARA GATOS PAWFFY RATON PELUCHE</t>
  </si>
  <si>
    <t>SP-3755</t>
  </si>
  <si>
    <t>JUGUETE PARA GATOS PAWFFY FRUTA MIXTA PELUCHE</t>
  </si>
  <si>
    <t>SP-3756</t>
  </si>
  <si>
    <t>JUGUETE PARA GATOS PAWFFY RATON DE PELUCHE</t>
  </si>
  <si>
    <t>SP-3757</t>
  </si>
  <si>
    <t>JUGUETE PARA GATOS PAWFFY PELUCHE CON PLUMAS</t>
  </si>
  <si>
    <t>SP-3758</t>
  </si>
  <si>
    <t>JUGUETE PARA GATOS PAWFFY RATON C/ SONAJA</t>
  </si>
  <si>
    <t>SP-3759</t>
  </si>
  <si>
    <t>JUGUETE PARA GATOS PAWFFY HURON PELUCHE CON SONIDO</t>
  </si>
  <si>
    <t>SP-3760</t>
  </si>
  <si>
    <t>JUGUETE PARA GATOS PAWFFY PELOTA CUERDA C/SONAJA</t>
  </si>
  <si>
    <t>SP-3761</t>
  </si>
  <si>
    <t>JUGUETE PARA GATOS PAWFFY PELOTA PLASTICO C/SONAJA</t>
  </si>
  <si>
    <t>SP-3762</t>
  </si>
  <si>
    <t>JUGUETE PARA GATOS PAWFFY PELOTA TELA C/SONAJA</t>
  </si>
  <si>
    <t>SP-3763</t>
  </si>
  <si>
    <t>SP-3764</t>
  </si>
  <si>
    <t>JUGUETE PARA GATOS PAWFFY RATON DE TELA C/SOGA Y PLUMAS</t>
  </si>
  <si>
    <t>SP-3765</t>
  </si>
  <si>
    <t>JUGUETE PARA GATOS PAWFFY RATON CON SONIDO</t>
  </si>
  <si>
    <t>SP-3766</t>
  </si>
  <si>
    <t>JUGUETE PARA GATOS PAWFFY STICK CON CUERDA, PLUMAS Y RATON</t>
  </si>
  <si>
    <t>SP-3767</t>
  </si>
  <si>
    <t>JUGUETE PARA GATOS PAWFFY STICK CON METAL, CASCABEL Y PLUMAS</t>
  </si>
  <si>
    <t>SP-3768</t>
  </si>
  <si>
    <t>JUGUETE PARA GATOS PAWFFY STICK CON CUERDA, CASCABEL, RATON DE TELA Y PLUMAS</t>
  </si>
  <si>
    <t>SP-3769</t>
  </si>
  <si>
    <t>JUGUETE PARA GATOS PAWFFY STICK CON CUERDA Y PELUCHE CON PLUMAS</t>
  </si>
  <si>
    <t>SP-3770</t>
  </si>
  <si>
    <t>JUGUETE PARA GATOS PAWFFY STICK CON PELUCHE PATAS LARGAS, CUERDA Y CASCABEL</t>
  </si>
  <si>
    <t>SP-3771</t>
  </si>
  <si>
    <t>JUGUETE PARA GATOS PAWFFY STICK CON CUERDA, CASCABEL Y ANIMAL TELA</t>
  </si>
  <si>
    <t>SP-3772</t>
  </si>
  <si>
    <t>JUGUETE PARA GATOS PAWFFY RATON DE PLASTICO CON SISTEMA DE CUERDA PARA AVANZAR</t>
  </si>
  <si>
    <t>SP-3773</t>
  </si>
  <si>
    <t>JUGUETE PARA GATOS PAWFFY PELOTA SOFT SPORT VARIOS MODELOS</t>
  </si>
  <si>
    <t>SP-3774</t>
  </si>
  <si>
    <t>JUGUETE PARA GATOS PAWFFY PELOTA EXTRA SOFT VARIOS COLORES</t>
  </si>
  <si>
    <t>SP-3775</t>
  </si>
  <si>
    <t>JUGUETE PARA GATOS PAWFFY RATON CON SONIDO VARIOS COLORES</t>
  </si>
  <si>
    <t>SP-3776</t>
  </si>
  <si>
    <t>JUGUETE PARA GATOS PAWFFY RATON DE TELA C/PLUMAS</t>
  </si>
  <si>
    <t>SP-3777</t>
  </si>
  <si>
    <t>JUGUETE PARA GATOS PAWFFY POLLO DE PELUCHE</t>
  </si>
  <si>
    <t>SP-3778</t>
  </si>
  <si>
    <t xml:space="preserve">JUGUETE PARA GATOS PAWFFY RATON DE PELUCHE </t>
  </si>
  <si>
    <t>SP-3779</t>
  </si>
  <si>
    <t xml:space="preserve">JUGUETE PARA GATOS PAWFFY CERDITO DE PELUCHE </t>
  </si>
  <si>
    <t>SP-3780</t>
  </si>
  <si>
    <t>SP-3781</t>
  </si>
  <si>
    <t xml:space="preserve">JUGUETE PARA GATOS PAWFFY PELOTA PLASTICA C/SONAJA VARIOS COLORES </t>
  </si>
  <si>
    <t>SP-3782</t>
  </si>
  <si>
    <t>JUGUETE PARA GATOS PAWFFY RATON PELUCHE,PELOTA C/SONAJA Y PELOTA FOAMI</t>
  </si>
  <si>
    <t>SP-3783</t>
  </si>
  <si>
    <t>JUGUETE PARA GATOS PAWFFY RATON DE HILO, PELUCHE,PELOTAS C/SONAJA</t>
  </si>
  <si>
    <t>SP-3784</t>
  </si>
  <si>
    <t>SP-3785</t>
  </si>
  <si>
    <t>JUGUETE PARA GATOS PAWFFY RATON PELUCHE VIBRADOR</t>
  </si>
  <si>
    <t>SP-3786</t>
  </si>
  <si>
    <t>JUGUETE PARA GATOS PAWFFY ORUGA DE CAUCHO</t>
  </si>
  <si>
    <t>SP-3787</t>
  </si>
  <si>
    <t>JUGUETE PARA GATOS PAWFFY STICK CON CUERDA, PLUMAS Y CASCABEL</t>
  </si>
  <si>
    <t>SP-3788</t>
  </si>
  <si>
    <t>JUGUETE PARA GATOS PAWFFY STICK CON CUERDA, PELOTA, PLUMAS  Y CASCABEL</t>
  </si>
  <si>
    <t>SP-3789</t>
  </si>
  <si>
    <t>JUGUETE PARA GATOS PAWFFY STICK CON CUERDA, CANGREJO DE PELUCHE, PLUMAS  Y CASCABEL</t>
  </si>
  <si>
    <t>SP-3820</t>
  </si>
  <si>
    <t>JUGUETE PARA GATOS PAWFFY STICK CON CUERDA, PAJARITO DE PELUCHE, PLUMAS  Y CASCABEL</t>
  </si>
  <si>
    <t>SP-3821</t>
  </si>
  <si>
    <t>JUGUETE PARA GATOS PAWFFY STICK CON CUERDA, PINGUINO DE PELUCHE, PLUMAS  Y CASCABEL</t>
  </si>
  <si>
    <t>SP-80561</t>
  </si>
  <si>
    <t>JUGUETE PARA GATOS PAWFFY TORTUGA PELUCHE VIBRADOR CON CATNIP</t>
  </si>
  <si>
    <t>SP-80562</t>
  </si>
  <si>
    <t>JUGUETE PARA GATOS PAWFFY GALLINA PELUCHE VIBRADOR</t>
  </si>
  <si>
    <t>SP-80563</t>
  </si>
  <si>
    <t>JUGUETE PARA GATOS PAWFFY RATON OREJON PELUCHE VIBRADOR</t>
  </si>
  <si>
    <t>SP-80564</t>
  </si>
  <si>
    <t>JUGUETE PARA GATOS PAWFFY RATON PELUCHE VIBRADOR CON CATNIP</t>
  </si>
  <si>
    <t>SP-80565</t>
  </si>
  <si>
    <t>JUGUETE PARA GATOS PAWFFY POLLO PELUCHE VIBRADOR</t>
  </si>
  <si>
    <t>SP-80566</t>
  </si>
  <si>
    <t>JUGUETE PARA GATOS PAWFFY RANA PELUCHE VIBRADOR</t>
  </si>
  <si>
    <t>SP-80567</t>
  </si>
  <si>
    <t>JUGUETE PARA GATOS PAWFFY CERDITO PELUCHE VIBRADOR</t>
  </si>
  <si>
    <t>SP-80568</t>
  </si>
  <si>
    <t>SP-80569</t>
  </si>
  <si>
    <t>JUGUETE PARA GATOS PAWFFY HAMSTER PELUCHE VIBRADOR</t>
  </si>
  <si>
    <t>SP-80570</t>
  </si>
  <si>
    <t>JUGUETE PARA GATOS PAWFFY RATON  PELUCHE CON SONIDO AL TACTO C/CATNIP</t>
  </si>
  <si>
    <t>SP-80571</t>
  </si>
  <si>
    <t>JUGUETE PARA GATOS PAWFFY CANARIO PELUCHE CON SONIDO AL TACTO C/CATNIP</t>
  </si>
  <si>
    <t>SP-80572</t>
  </si>
  <si>
    <t>JUGUETE PARA GATOS PAWFFY RATON PELUCHE CON SONIDO AL TACTO C/CATNIP</t>
  </si>
  <si>
    <t>SP-80573</t>
  </si>
  <si>
    <t>JUGUETE PARA GATOS PAWFFY ERIZO PELUCHE CON SONIDO AL TACTO C/CATNIP</t>
  </si>
  <si>
    <t>SCA-150</t>
  </si>
  <si>
    <t>ARENERO ECONOMICO IMPORTADO VARIOS COLORES 37.5 X 25.5X 6.5cm</t>
  </si>
  <si>
    <t>SCA-151</t>
  </si>
  <si>
    <t>ARENERO ECONOMICO IMPORTADO VARIOS COLORES 44.0 X 31.5X 7.0cm</t>
  </si>
  <si>
    <t>SCA-203</t>
  </si>
  <si>
    <t>ARENERO DELUXE IMPORTADO VARIOS COLORES 40 X 30 X 10.5cm</t>
  </si>
  <si>
    <t>SCA-201</t>
  </si>
  <si>
    <t>ARENERO DELUXE IMPORTADO VARIOS COLORES 46 X 37.5 X 13cm</t>
  </si>
  <si>
    <t>SCA-202</t>
  </si>
  <si>
    <t>ARENERO DELUXE IMPORTADO VARIOS COLORES 56.5 X 44 X 17cm</t>
  </si>
  <si>
    <t>SCA-601</t>
  </si>
  <si>
    <t>ARENERO IMPORTADO C/REJILLA P/LIMPIEZA DE PATAS DE GATO 51.3 X 39 X 24.3cm</t>
  </si>
  <si>
    <t>SCA-501</t>
  </si>
  <si>
    <t>TOILET IMPORTADO DELUXE ECONOMICO DE PUERTA ABATIBLE  55 X 44 X 43cm</t>
  </si>
  <si>
    <t>SP-3661</t>
  </si>
  <si>
    <t>ARENA PARA GATOS IMPORTADA SIN AROMA (BOLSA 3kg) BENTONITA SUPER AGLUTINANTE Y 99% LIBRE DE POLVO</t>
  </si>
  <si>
    <t>SP-3662</t>
  </si>
  <si>
    <t>ARENA PARA GATOS IMPORTADA AROMA LAVANDA (BOLSA 3kg) BENTONITA SUPER AGLUTINANTE Y 99% LIBRE DE POLVO</t>
  </si>
  <si>
    <t>SP-3663</t>
  </si>
  <si>
    <t>ARENA PARA GATOS IMPORTADA AROMA LIMON (BOLSA 3kg) BENTONITA SUPER AGLUTINANTE Y 99% LIBRE DE POLVO</t>
  </si>
  <si>
    <t>SP-3738</t>
  </si>
  <si>
    <t>ARENA PARA GATOS IMPORTADA SIN AROMA (BOLSA 20kg) BENTONITA SUPER AGLUTINANTE Y 99% LIBRE DE POLVO</t>
  </si>
  <si>
    <t>SP-3739</t>
  </si>
  <si>
    <t>ARENA PARA GATOS IMPORTADA AROMA LAVANDA (BOLSA 20kg) BENTONITA SUPER AGLUTINANTE Y 99% LIBRE DE POLVO</t>
  </si>
  <si>
    <t>SP-3737</t>
  </si>
  <si>
    <t>ARENA PARA GATOS IMPORTADA AROMA LIMON (BOLSA 20kg) BENTONITA SUPER AGLUTINANTE Y 99% LIBRE DE POLVO</t>
  </si>
  <si>
    <t>SP-3664</t>
  </si>
  <si>
    <t>ARENA PARA GATOS PAWFFY by SUNNY SIN AROMA (BOLSA 5kg) BENTONITA SUPER AGLUTINANTE Y LIBRE DE POLVO</t>
  </si>
  <si>
    <t>SP-3665</t>
  </si>
  <si>
    <t>ARENA PARA GATOS PAWFFY by SUNNY AROMA LAVANDA (BOLSA 5kg) BENTONITA SUPER AGLUTINANTE Y LIBRE DE POLVO</t>
  </si>
  <si>
    <t>SP-3799</t>
  </si>
  <si>
    <t xml:space="preserve">CAT NIP (menta para gatos) </t>
  </si>
  <si>
    <t>SP-3790</t>
  </si>
  <si>
    <t>RASCADERO DE CARTON PARA GATOS PAWFFY IMPORTADO</t>
  </si>
  <si>
    <t>SP-3791</t>
  </si>
  <si>
    <t>SP-3792</t>
  </si>
  <si>
    <t>SP-3793</t>
  </si>
  <si>
    <t>SP-3794</t>
  </si>
  <si>
    <t>SP-3822</t>
  </si>
  <si>
    <t xml:space="preserve">RASCADERRO TIPO CAT TREE P/GATOS PAWFFY IMPORTADO 30X30X40cm  postes de 4mm y base aglomerado 12mm </t>
  </si>
  <si>
    <t>SP-3823</t>
  </si>
  <si>
    <t xml:space="preserve">RASCADERRO TIPO CAT TREE P/GATOS PAWFFY IMPORTADO 30X30X42cm  postes de 4mm y base aglomerado 12mm </t>
  </si>
  <si>
    <t>SP-3824</t>
  </si>
  <si>
    <t xml:space="preserve">RASCADERRO TIPO CAT TREE P/GATOS PAWFFY IMPORTADO 29.5X29.5X50cm  postes de 4mm y base aglomerado 12mm </t>
  </si>
  <si>
    <t>SP-3825</t>
  </si>
  <si>
    <t xml:space="preserve">RASCADERRO TIPO CAT TREE P/GATOS PAWFFY IMPORTADO 43X43X40cm  postes de 4mm y base aglomerado 12mm </t>
  </si>
  <si>
    <t>SP-3826</t>
  </si>
  <si>
    <t xml:space="preserve">RASCADERRO TIPO CAT TREE P/GATOS PAWFFY IMPORTADO 39X39X65.5cm  postes de 4mm y base aglomerado 12mm </t>
  </si>
  <si>
    <t>SP-3827</t>
  </si>
  <si>
    <t xml:space="preserve">RASCADERRO TIPO CAT TREE P/GATOS PAWFFY IMPORTADO 39X39X55cm  postes de 4mm y base aglomerado 12mm </t>
  </si>
  <si>
    <t>SP-3828</t>
  </si>
  <si>
    <t xml:space="preserve">RASCADERRO TIPO CAT TREE P/GATOS PAWFFY IMPORTADO 44X44X113cm  postes de 4mm y base aglomerado 12mm </t>
  </si>
  <si>
    <t>SP-3829</t>
  </si>
  <si>
    <t>SP-3830</t>
  </si>
  <si>
    <t xml:space="preserve">RASCADERRO TIPO CAT TREE P/GATOS PAWFFY IMPORTADO 53.5X39X109cm  postes de 4mm y base aglomerado 12mm </t>
  </si>
  <si>
    <t>SP-3831</t>
  </si>
  <si>
    <t xml:space="preserve">RASCADERRO TIPO CAT TREE P/GATOS PAWFFY IMPORTADO 55X45X155cm  postes de 4mm y base aglomerado 12mm </t>
  </si>
  <si>
    <t>SP-3832</t>
  </si>
  <si>
    <t xml:space="preserve">RASCADERRO TIPO CAT TREE P/GATOS PAWFFY IMPORTADO 45X45X156cm  postes de 4mm y base aglomerado 12mm </t>
  </si>
  <si>
    <t>SP-3833</t>
  </si>
  <si>
    <t xml:space="preserve">RASCADERRO TIPO CAT TREE P/GATOS PAWFFY IMPORTADO 54.5X54.5X167cm  postes de 4mm y base aglomerado 12mm </t>
  </si>
  <si>
    <t>SP-3834</t>
  </si>
  <si>
    <t xml:space="preserve">RASCADERRO TIPO CAT TREE P/GATOS PAWFFY IMPORTADO 62X52X210cm  postes de 4mm y base aglomerado 12mm </t>
  </si>
  <si>
    <t>SP-3835</t>
  </si>
  <si>
    <t xml:space="preserve">RASCADERRO TIPO CAT TREE P/GATOS PAWFFY IMPORTADO 74X48X120cm  postes de 4mm y base aglomerado 12mm </t>
  </si>
  <si>
    <t>SP-3836</t>
  </si>
  <si>
    <t xml:space="preserve">RASCADERRO TIPO CAT TREE P/GATOS PAWFFY IMPORTADO 75X40X95cm  postes de 4mm y base aglomerado 12mm </t>
  </si>
  <si>
    <t>SCA-02</t>
  </si>
  <si>
    <t>PALA ECONOMICA P/ARENERO</t>
  </si>
  <si>
    <t>SP-7809</t>
  </si>
  <si>
    <t>CARDA REFORZADA MINI PETUNIUS by SUNNY CON MARCO METALICO (pelo largo y pelo corto)</t>
  </si>
  <si>
    <t>SP-7810</t>
  </si>
  <si>
    <t>CARDA REPORZADA MINI PETUNIUS by SUNNY (pelo largo y pelo corto)</t>
  </si>
  <si>
    <t>SP-7811</t>
  </si>
  <si>
    <t>CEPILLO MINI REFORZADO PETUNIUS by SUNNY  CON PUNTAS DE ESFERA (pelo largo y pelo corto)</t>
  </si>
  <si>
    <t>SP-7812</t>
  </si>
  <si>
    <t>CEPILLO MINI DUO REFORZADO PETUNIUS by SUNNY CON PUNTAS DE ESFERA</t>
  </si>
  <si>
    <t>SP-7813</t>
  </si>
  <si>
    <t>PEINE METALICO MINI CON MANGO ANTIDERRAPANTE PETUNIUS by SUNNY CON PUNTAS FIJAS 43 DIENTES (pelo largo y pelo corto)</t>
  </si>
  <si>
    <t>SP-7814</t>
  </si>
  <si>
    <t>CARDA MINI OVAL REFORZADA CON MANGO ANTIDERRAPANTE PETUNIUS by SUNNY (pelo largo y pelo corto)</t>
  </si>
  <si>
    <t>SP-7815</t>
  </si>
  <si>
    <t>PEINE METALICO MINI CON MANGO ANTIDERRAPANTE PETUNIUS by SUNNY CON PUNTAS FIJAS 31 DIENTES (pelo largo y pelo corto)</t>
  </si>
  <si>
    <t>SP-7816</t>
  </si>
  <si>
    <t>PEINE METALICO MINI CON MANGO ANTIDERRAPANTE CON PUNTAS FIJAS 50 DIENTES (pelo largo y pelo corto)</t>
  </si>
  <si>
    <t>SP-7817</t>
  </si>
  <si>
    <t xml:space="preserve">TIJERA CORTAUÑAS MINI CON HOYO DE PRECISION Y MANGO ANTIDERRAPANTE PETUNIUS by SUNNY </t>
  </si>
  <si>
    <t>SP-7818</t>
  </si>
  <si>
    <t xml:space="preserve">CORTAUÑAS MINI DE PINZA PETUNIUS by SUNNY </t>
  </si>
  <si>
    <t>SP-7819</t>
  </si>
  <si>
    <t>TIJERA CORTAUÑAS MINI CON MANGO ANTIDERRAPANTE PETUNIUS by SUNNY</t>
  </si>
  <si>
    <t>SP-7820</t>
  </si>
  <si>
    <t>SP-7821</t>
  </si>
  <si>
    <t>PEINE ANTIPULGAS MINI PETUNIUS by SUNNY DE PUNTA FIJA 67 DIENTES (pelo largo y pelo corto)</t>
  </si>
  <si>
    <t>SP-7822</t>
  </si>
  <si>
    <t>PEINETA ANTIPULGAS MINI PETUNIUS by SUNNY DE PUNTA FIJA 54 DIENTES CORTOS (pelo largo y pelo corto)</t>
  </si>
  <si>
    <t>SP-7823</t>
  </si>
  <si>
    <t>PEINETA ANTIPULGAS MINI PETUNIUS by SUNNY DE PUNTA FIJA 32 DIENTES LARGOS (pelo largo y pelo corto)</t>
  </si>
  <si>
    <t>SP-7825</t>
  </si>
  <si>
    <t>CARDA CON CERDAS DE GOMA MINI PETUNIUS by SUNNY (pelo largo y pelo corto)</t>
  </si>
  <si>
    <t>SP-7826</t>
  </si>
  <si>
    <t>ROMPENUDOS MINI PETUNIUS by SUNNY (pelo largo y pelo corto)</t>
  </si>
  <si>
    <t>SP-7829</t>
  </si>
  <si>
    <t>DESLANADOR DE NAVAJA MINI PETUNIUS by SUNNY 6cm (pelo largo y pelo cortto)</t>
  </si>
  <si>
    <t>SP-7898</t>
  </si>
  <si>
    <t>CARDA CUADRADA REFORZADA CON PUNTAS REDONDAS DE PLASTICO CON MANGO ANTIDERRAPANTE 15.5cm PETUNIUS by SUNNY</t>
  </si>
  <si>
    <t>SP-7899</t>
  </si>
  <si>
    <t>CARDA OVAL REFORZADA CON PUNTAS REDONDAS DE PLASTICO CON MANGO ANTIDERRAPANTE 13cm PETUNIUS by SUNNY</t>
  </si>
  <si>
    <t>SPT-01S</t>
  </si>
  <si>
    <t>MASCOTERA DE PLASTICO CHICA SUNNY   18 X 8 X 13.5cm</t>
  </si>
  <si>
    <t>SPT-01M</t>
  </si>
  <si>
    <t>MASCOTERA DE PLASTICO MEDIANA SUNNY   24 X 16 X 17cm</t>
  </si>
  <si>
    <t>SPT-01L</t>
  </si>
  <si>
    <t>MASCOTERA DE PLASTICO GRANDE SUNNY   30.5 X 20.5 X 21cm</t>
  </si>
  <si>
    <t>SPT-01XL</t>
  </si>
  <si>
    <t>MASCOTERA DE PLASTICO EXTRA GRANDE SUNNY   37.5 X 24 X 26cm</t>
  </si>
  <si>
    <t>SP-3623</t>
  </si>
  <si>
    <t>JAULA PLASTICA P/HAMSTER SUNNY HAMSTER LAND IMPORTADA (ROSA) 1 PISO 27.7X20.5X25.0</t>
  </si>
  <si>
    <t>SP-3624</t>
  </si>
  <si>
    <t>JAULA PLASTICA P/HAMSTER SUNNY HAMSTER LAND IMPORTADA (AZUL) 1 PISO 27.7X20.5X25.0</t>
  </si>
  <si>
    <t>SP-3625</t>
  </si>
  <si>
    <t>JAULA PLASTICA P/HAMSTER SUNNY HAMSTER LAND IMPORTADA (AMARILLO)1 PISO  27.7X20.5X25.0</t>
  </si>
  <si>
    <t>SP-3626</t>
  </si>
  <si>
    <t>JAULA PLASTICA P/HAMSTER SUNNY HAMSTER LAND IMPORTADA (ROSA) 2 PISOS 27.7X20.5X42.5</t>
  </si>
  <si>
    <t>SP-3627</t>
  </si>
  <si>
    <t>JAULA PLASTICA P/HAMSTER SUNNY HAMSTER LAND IMPORTADA (AZUL) 2 PISOS 27.7X20.5X42.5</t>
  </si>
  <si>
    <t>SP-3628</t>
  </si>
  <si>
    <t>JAULA PLASTICA P/HAMSTER SUNNY HAMSTER LAND IMPORTADA (AMARILLO) 2 PISOS 27.7X20.5X42.5</t>
  </si>
  <si>
    <t>SP-3629</t>
  </si>
  <si>
    <t>JAULA PLASTICA P/HAMSTER SUNNY HAMSTER LAND IMPORTADA (ROSA) 1 PISO 36.0X27.0X25.0</t>
  </si>
  <si>
    <t>SP-3630</t>
  </si>
  <si>
    <t>JAULA PLASTICA P/HAMSTER SUNNY HAMSTER LAND IMPORTADA (AZUL) 1 PISO 36.0X27.0X25.0</t>
  </si>
  <si>
    <t>SP-3631</t>
  </si>
  <si>
    <t>JAULA PLASTICA P/HAMSTER SUNNY HAMSTER LAND IMPORTADA (AMARILLO) 1 PISO 36.0X27.0X25.0</t>
  </si>
  <si>
    <t>SP-3632</t>
  </si>
  <si>
    <t>JAULA PLASTICA P/HAMSTER SUNNY HAMSTER LAND IMPORTADA (ROSA) 2 PISOS 36.0X27.0X42.5</t>
  </si>
  <si>
    <t>SP-3633</t>
  </si>
  <si>
    <t>JAULA PLASTICA P/HAMSTER SUNNY HAMSTER LAND IMPORTADA (AZUL) 2 PISOS 36.0X27.0X42.5</t>
  </si>
  <si>
    <t>SP-3634</t>
  </si>
  <si>
    <t>JAULA PLASTICA P/HAMSTER SUNNY HAMSTER LAND IMPORTADA (AMARILLO) 2 PISOS 36.0X27.0X42.5</t>
  </si>
  <si>
    <t>SP-3635</t>
  </si>
  <si>
    <t>JAULA PLASTICA P/HAMSTER SUNNY HAMSTER LAND IMPORTADA (DOBLE)  33.5X23.7X35.5</t>
  </si>
  <si>
    <t>SP-3636</t>
  </si>
  <si>
    <t>JAULA PLASTICA P/HAMSTER SUNNY HAMSTER LAND IMPORTADA (NARANJA) 24.1X18.3X30.1</t>
  </si>
  <si>
    <t>SP-3637</t>
  </si>
  <si>
    <t>JAULA PLASTICA P/HAMSTER SUNNY HAMSTER LAND IMPORTADA (VERDE) 24.1X18.3X30.1</t>
  </si>
  <si>
    <t>SP-3638</t>
  </si>
  <si>
    <t>JAULA PLASTICA P/HAMSTER SUNNY HAMSTER LAND IMPORTADA (AZUL-VERDE) 28.9X22.2X30.1</t>
  </si>
  <si>
    <t>SP-3639</t>
  </si>
  <si>
    <t>JAULA PLASTICA P/HAMSTER SUNNY HAMSTER LAND IMPORTADA (ROSA) 28.9X22.2X30.1</t>
  </si>
  <si>
    <t>SP-3640</t>
  </si>
  <si>
    <t>JAULA PLASTICA P/HAMSTER SUNNY HAMSTER LAND IMPORTADA (CAFE) 28.9X22.2X30.1</t>
  </si>
  <si>
    <t>SP-3641</t>
  </si>
  <si>
    <t>JAULA PLASTICA P/HAMSTER SUNNY HAMSTER LAND IMPORTADA (AZUL) 28.9X22.2X30.1</t>
  </si>
  <si>
    <t>SP-3642</t>
  </si>
  <si>
    <t>JAULA PLASTICA P/HAMSTER SUNNY HAMSTER LAND IMPORTADA (AZUL) 24.0X18.3X16.0</t>
  </si>
  <si>
    <t>SP-3643</t>
  </si>
  <si>
    <t>JAULA PLASTICA P/HAMSTER SUNNY HAMSTER LAND IMPORTADA (ROSA) 24.0X18.3X16.0</t>
  </si>
  <si>
    <t>SP-3720</t>
  </si>
  <si>
    <t>JAULA PLASTICA P/HAMSTER SUNNY HAMSTER LAND IMPORTADA (VERDE) 24.0X18.3X16.0</t>
  </si>
  <si>
    <t>SP-3721</t>
  </si>
  <si>
    <t>JAULA PLASTICA P/HAMSTER SUNNY HAMSTER LAND IMPORTADA (AMARILLO) 24.0X18.3X16.0</t>
  </si>
  <si>
    <t>SP-3644</t>
  </si>
  <si>
    <t>JAULA PLASTICA P/HAMSTER SUNNY HAMSTER LAND IMPORTADA (CAFE) 35.5X25.6X33.0</t>
  </si>
  <si>
    <t>SP-3645</t>
  </si>
  <si>
    <t>JAULA PLASTICA P/HAMSTER SUNNY HAMSTER LAND IMPORTADA (ROSA) 35.5X25.6X33.0</t>
  </si>
  <si>
    <t>SP-3646</t>
  </si>
  <si>
    <t>SP-3658</t>
  </si>
  <si>
    <t>SP-3659</t>
  </si>
  <si>
    <t>SP-3660</t>
  </si>
  <si>
    <t>SP-3672</t>
  </si>
  <si>
    <t>ESFERA CHICA DE PLASTICO IMPORTADA EXERCISE BALL 11.5cm/4,5" VARIOS COLORES</t>
  </si>
  <si>
    <t>SP-3673</t>
  </si>
  <si>
    <t>ESFERA MEDIANA DE PLASTICO IMPORTADA EXERCISE BALL 14.5cm/5,7" VARIOS COLORES</t>
  </si>
  <si>
    <t>SP-3675</t>
  </si>
  <si>
    <t>ESFERA GRANDE DE PLASTICO IMPORTADA EXERCISE BALL 17.5cm/6,7" VARIOS COLORES</t>
  </si>
  <si>
    <t>SP-3674</t>
  </si>
  <si>
    <r>
      <rPr>
        <rFont val="Tahoma"/>
        <color theme="1"/>
        <sz val="9.0"/>
      </rPr>
      <t xml:space="preserve">JAULA PLASTICA P/CONEJO SUNNY  IMPORTADA (ROSA) 45.0X30.0X25.0 (rosa, azul, morado, verde, </t>
    </r>
    <r>
      <rPr>
        <rFont val="Tahoma"/>
        <b/>
        <color theme="1"/>
        <sz val="9.0"/>
      </rPr>
      <t>blanco</t>
    </r>
    <r>
      <rPr>
        <rFont val="Tahoma"/>
        <color theme="1"/>
        <sz val="9.0"/>
      </rPr>
      <t>)</t>
    </r>
  </si>
  <si>
    <t>SP-3722</t>
  </si>
  <si>
    <r>
      <rPr>
        <rFont val="Tahoma"/>
        <color theme="1"/>
        <sz val="9.0"/>
      </rPr>
      <t xml:space="preserve">JAULA PLASTICA P/CONEJO SUNNY  IMPORTADA (ROSA) 62.0X34.5X40.0 (rosa, azul, morado, verde, </t>
    </r>
    <r>
      <rPr>
        <rFont val="Tahoma"/>
        <b/>
        <color theme="1"/>
        <sz val="9.0"/>
      </rPr>
      <t>blanco</t>
    </r>
    <r>
      <rPr>
        <rFont val="Tahoma"/>
        <color theme="1"/>
        <sz val="9.0"/>
      </rPr>
      <t>)</t>
    </r>
  </si>
  <si>
    <t>SP-3653</t>
  </si>
  <si>
    <t>BEBEDERO IMPORTADO PLASTICO PARA ROEDORES BOQUILLA DE CRISTAL 60ml</t>
  </si>
  <si>
    <t>SP-3654</t>
  </si>
  <si>
    <t>BEBEDERO IMPORTADO PLASTICO PARA ROEDORES C/DOBLE BALIN 80ml IMPORTADO</t>
  </si>
  <si>
    <t>SP-3655</t>
  </si>
  <si>
    <t>BEBEDERO IMPORTADO PLASTICO PARA ROEDORES C/DOBLE BALIN 125ml IMPORTADO</t>
  </si>
  <si>
    <t>SP-3656</t>
  </si>
  <si>
    <t>BEBEDERO IMPORTADO PLASTICO PARA ROEDORES C/DOBLE BALIN 250ml IMPORTADO</t>
  </si>
  <si>
    <t>SP-3670</t>
  </si>
  <si>
    <t>BEBEDERO PLASTICO PARA ROEDORES C/BALIN 500ml IMPORTADO</t>
  </si>
  <si>
    <t>SP-3671</t>
  </si>
  <si>
    <t>BEBEDERO PLASTICO PARA ROEDORES C/BALIN 800ml IMPORTADO</t>
  </si>
  <si>
    <t>ÜBER PINE BEDDING 24L</t>
  </si>
  <si>
    <t>ÜBER PINE BEDDING 141L</t>
  </si>
  <si>
    <t>ÜBER NATURAL PAPER BEDDING 28L</t>
  </si>
  <si>
    <t>ÜBER NATURAL PAPER BEDDING 56L</t>
  </si>
  <si>
    <t>ÜBER WHITE PAPER BEDDING PAPER 36L</t>
  </si>
  <si>
    <t>ÜBER WHITE PAPER BEDDING PAPER 56L</t>
  </si>
  <si>
    <t>ÜBER BLUE/WHITE PAPER BEDDING PAPER 36L</t>
  </si>
  <si>
    <t>ÜBER BLUE/WHITE PAPER BEDDING PAPER 56L</t>
  </si>
  <si>
    <t>ÜBER PINK/WHITE PAPER BEDDING PAPER 36L</t>
  </si>
  <si>
    <t>ÜBER PINK/WHITE PAPER BEDDING PAPER 56L</t>
  </si>
  <si>
    <t>ÜBER CONFETI PAPER BEDDING 36L</t>
  </si>
  <si>
    <t>ÜBER CONFETI PAPER BEDDING 56L</t>
  </si>
  <si>
    <t>SP-2849</t>
  </si>
  <si>
    <t xml:space="preserve">JUGUETE PARA AVES IMPORTADO MONTE VERDE by SUNNY  4.5X21cm </t>
  </si>
  <si>
    <t>SP-2850</t>
  </si>
  <si>
    <t>JUGUETE PARA AVES IMPORTADO MONTE VERDE by SUNNY  7.5X35cm</t>
  </si>
  <si>
    <t>SP-2851</t>
  </si>
  <si>
    <t>JUGUETE PARA AVES IMPORTADO MONTE VERDE by SUNNY  4X23cm</t>
  </si>
  <si>
    <t>SP-2852</t>
  </si>
  <si>
    <t>JUGUETE PARA AVES IMPORTADO MONTE VERDE by SUNNY  4X15cm</t>
  </si>
  <si>
    <t>SP-2853</t>
  </si>
  <si>
    <t>JUGUETE PARA AVES IMPORTADO MONTE VERDE by SUNNY  4X4cm</t>
  </si>
  <si>
    <t>SP-2854</t>
  </si>
  <si>
    <t>JUGUETE PARA AVES IMPORTADO MONTE VERDE by SUNNY  6X15cm</t>
  </si>
  <si>
    <t>SP-2855</t>
  </si>
  <si>
    <t>JUGUETE PARA AVES IMPORTADO MONTE VERDE by SUNNY  7.5X7.5X26cm</t>
  </si>
  <si>
    <t>SP-2856</t>
  </si>
  <si>
    <t>JUGUETE PARA AVES IMPORTADO MONTE VERDE by SUNNY  9X9cm</t>
  </si>
  <si>
    <t>SP-2857</t>
  </si>
  <si>
    <t>JUGUETE PARA AVES IMPORTADO MONTE VERDE by SUNNY  11X8cm</t>
  </si>
  <si>
    <t>SP-2858</t>
  </si>
  <si>
    <t>JUGUETE PARA AVES IMPORTADO MONTE VERDE by SUNNY  6X15.5cm</t>
  </si>
  <si>
    <t>SP-2859</t>
  </si>
  <si>
    <t>JUGUETE PARA AVES IMPORTADO MONTE VERDE by SUNNY  7X6.7X14.5cm</t>
  </si>
  <si>
    <t>SP-2860</t>
  </si>
  <si>
    <t>JUGUETE PARA AVES IMPORTADO MONTE VERDE by SUNNY  8X8X15.5cm</t>
  </si>
  <si>
    <t>SP-2861</t>
  </si>
  <si>
    <t>JUGUETE PARA AVES IMPORTADO MONTE VERDE by SUNNY  8X10.3X22cm</t>
  </si>
  <si>
    <t>SP-2862</t>
  </si>
  <si>
    <t>JUGUETE PARA AVES IMPORTADO MONTE VERDE by SUNNY  6.5X6.5X16cm</t>
  </si>
  <si>
    <t>SP-2863</t>
  </si>
  <si>
    <t>JUGUETE PARA AVES IMPORTADO MONTE VERDE by SUNNY  6.7X6.5X20.5cm</t>
  </si>
  <si>
    <t>SP-2864</t>
  </si>
  <si>
    <t>JUGUETE PARA AVES IMPORTADO MONTE VERDE by SUNNY  6.8X13.5cm</t>
  </si>
  <si>
    <t>SP-2865</t>
  </si>
  <si>
    <t>JUGUETE PARA AVES IMPORTADO MONTE VERDE by SUNNY  5.5X3.5X14cm</t>
  </si>
  <si>
    <t>SP-2866</t>
  </si>
  <si>
    <t>JUGUETE PARA AVES IMPORTADO MONTE VERDE by SUNNY  7.8X11cm</t>
  </si>
  <si>
    <t>SP-2867</t>
  </si>
  <si>
    <t>JUGUETE PARA AVES IMPORTADO MONTE VERDE by SUNNY  9.2X5.9cm</t>
  </si>
  <si>
    <t>SP-2837</t>
  </si>
  <si>
    <t>DISPENSADOR DE ALIMENTO PARA AVES MONTE VERDE by SUNNY 650ml</t>
  </si>
  <si>
    <t>SP-2838</t>
  </si>
  <si>
    <t>DISPENSADOR DE ALIMENTO PARA AVES MONTE VERDE by SUNNY 400ml</t>
  </si>
  <si>
    <t>SP-2839</t>
  </si>
  <si>
    <t>DISPENSADOR DE ALIMENTO PARA AVES MONTE VERDE by SUNNY 500ml (set c/2pcs)</t>
  </si>
  <si>
    <t>SP-2840</t>
  </si>
  <si>
    <t>DISPENSADOR DE ALIMENTO PARA AVES MONTE VERDE by SUNNY 1200ml</t>
  </si>
  <si>
    <t>SFB-80505</t>
  </si>
  <si>
    <t>COMEDERO DE ACERO INOXIDABLE PARA AVES 5oz C/TORNILLO</t>
  </si>
  <si>
    <t>SFB-80506</t>
  </si>
  <si>
    <t>COMEDERO DE ACERO INOXIDABLE PARA AVES 10oz C/TORNILLO</t>
  </si>
  <si>
    <t>SFB-80507</t>
  </si>
  <si>
    <t>COMEDERO DE ACERO INOXIDABLE PARA AVES 20oz C/TORNILLO</t>
  </si>
  <si>
    <t>SFB-80508</t>
  </si>
  <si>
    <t>COMEDERO DE ACERO INOXIDABLE PARA AVES 30oz C/TORNILLO</t>
  </si>
  <si>
    <t>SP-7892</t>
  </si>
  <si>
    <t xml:space="preserve">NECTAR PARA COLIBRI 1500ml MONTE VERDE by SUNNY </t>
  </si>
  <si>
    <t>SP-2828</t>
  </si>
  <si>
    <t>BEBEDERO PARA COLIBRI SUPER ECONOMICO 900ml MONTE VERDE by SUNNY (incluye un set de escobillones para limpieza)</t>
  </si>
  <si>
    <t>SP-2829</t>
  </si>
  <si>
    <t>BEBEDERO PARA COLIBRI SUPER ECONOMICO 500ml MONTE VERDE by SUNNY  (incluye un set de escobillones para limpieza)</t>
  </si>
  <si>
    <t>SP-2830</t>
  </si>
  <si>
    <t>BEBEDERO PARA COLIBRI SUPER ECONOMICO 900ml MONTE VERDE by SUNNY  (incluye un set de escobillones para limpieza)</t>
  </si>
  <si>
    <t>SP-2831</t>
  </si>
  <si>
    <t>SP-2832</t>
  </si>
  <si>
    <t>BEBEDERO PARA COLIBRI SUPER ECONOMICO 450ml MONTE VERDE by SUNNY  (incluye un set de escobillones para limpieza)</t>
  </si>
  <si>
    <t>SP-2833</t>
  </si>
  <si>
    <t>BEBEDERO PARA COLIBRI SUPER CLARO 1000ml MONTE VERDE by SUNNY  (incluye un set de escobillones para limpieza)</t>
  </si>
  <si>
    <t>SP-2834</t>
  </si>
  <si>
    <t>BEBEDERO PARA COLIBRI SUPER ROJO 850ml MONTE VERDE by SUNNY  (incluye un set de escobillones para limpieza)</t>
  </si>
  <si>
    <t>SP-2835</t>
  </si>
  <si>
    <t>BEBEDERO PARA COLIBRI SUPER CLARO 480ml MONTE VERDE by SUNNY  (incluye un set de escobillones para limpieza)</t>
  </si>
  <si>
    <t>SP-2836</t>
  </si>
  <si>
    <t>BEBEDERO PARA COLIBRI SUPER CLARO 1300ml MONTE VERDE by SUNNY  (incluye un set de escobillones para limpieza)</t>
  </si>
  <si>
    <t>SP-7881</t>
  </si>
  <si>
    <t>BEBEDERO PARA COLIBRI SUPER CLARO 900ml MONTE VERDE by SUNNY  (incluye un set de escobillones para limpieza)</t>
  </si>
  <si>
    <t>SP-7882</t>
  </si>
  <si>
    <t>BEBEDERO PARA COLIBRI SUPER CLARO 500ml MONTE VERDE by SUNNY  (incluye un set de escobillones para limpieza)</t>
  </si>
  <si>
    <t>SP-7883</t>
  </si>
  <si>
    <t>BEBEDERO PARA COLIBRI SUPER CLARO 1100ml MONTE VERDE by SUNNY  (incluye un set de escobillones para limpieza)</t>
  </si>
  <si>
    <t>SP-7884</t>
  </si>
  <si>
    <t>SP-7885</t>
  </si>
  <si>
    <t>BEBEDERO PARA COLIBRI SUPER CLARO 800ml MONTE VERDE by SUNNY  (incluye un set de escobillones para limpieza)</t>
  </si>
  <si>
    <t>SP-7886</t>
  </si>
  <si>
    <t>SP-7887</t>
  </si>
  <si>
    <t>SP-7888</t>
  </si>
  <si>
    <t>BEBEDERO PARA COLIBRI CRISTAL SUPER CLARO 500ml MONTE VERDE by SUNNY  (incluye un set de escobillones para limpieza)</t>
  </si>
  <si>
    <t>SP-2841</t>
  </si>
  <si>
    <t>REFACCIONES PARA BEBEDEROS DE COLIBRI (ESTACIONES) P/SP-2828</t>
  </si>
  <si>
    <t>SP-2842</t>
  </si>
  <si>
    <t>REFACCIONES PARA BEBEDEROS DE COLIBRI (ESTACIONES) P/SP-2829/ SP-2830</t>
  </si>
  <si>
    <t>SP-2843</t>
  </si>
  <si>
    <t>REFACCIONES PARA BEBEDEROS DE COLIBRI (ESTACIONES) P/SP-2831/ SP-2832</t>
  </si>
  <si>
    <t>SP-2844</t>
  </si>
  <si>
    <t>REFACCIONES PARA BEBEDEROS DE COLIBRI (ESTACIONES) P/SP-2833</t>
  </si>
  <si>
    <t>SP-2845</t>
  </si>
  <si>
    <t>REFACCIONES PARA BEBEDEROS DE COLIBRI (ESTACIONES) P/SP-2834/ SP-7882</t>
  </si>
  <si>
    <t>SP-2846</t>
  </si>
  <si>
    <t>REFACCIONES PARA BEBEDEROS DE COLIBRI (ESTACIONES) P/SP-2835</t>
  </si>
  <si>
    <t>SP-2847</t>
  </si>
  <si>
    <t>REFACCIONES PARA BEBEDEROS DE COLIBRI (ESTACIONES) P/SP-2836</t>
  </si>
  <si>
    <t>SP-7889</t>
  </si>
  <si>
    <t>REFACCIONES PARA BEBEDEROS DE COLIBRI (ESTACIONES) P/SP-7881/ SP-7883, SP-7884/ SP-7885</t>
  </si>
  <si>
    <t>SP-7890</t>
  </si>
  <si>
    <t>REFACCIONES PARA BEBEDEROS DE COLIBRI (ESTACIONES) P/SP-7886/ SP-7887/ SP-7888</t>
  </si>
  <si>
    <t>SP-2807</t>
  </si>
  <si>
    <t>JAULA IMPORTADA PARA AVES MONTE VERDE by SUNNY  34X23X53cm</t>
  </si>
  <si>
    <t>SP-2808</t>
  </si>
  <si>
    <t>JAULA IMPORTADA PARA AVES MONTE VERDE by SUNNY  30X23X39cm</t>
  </si>
  <si>
    <t>SP-2809</t>
  </si>
  <si>
    <t>SP-2810</t>
  </si>
  <si>
    <t>JAULA IMPORTADA PARA AVES MONTE VERDE by SUNNY  30X23X49cm</t>
  </si>
  <si>
    <t>SP-2811</t>
  </si>
  <si>
    <t>SP-2812</t>
  </si>
  <si>
    <t>JAULA IMPORTADA PARA AVES MONTE VERDE by SUNNY  35X28X46cm</t>
  </si>
  <si>
    <t>SP-2813</t>
  </si>
  <si>
    <t>SP-2814</t>
  </si>
  <si>
    <t>SP-2815</t>
  </si>
  <si>
    <t>JAULA IMPORTADA PARA AVES MONTE VERDE by SUNNY  38X36X49cm</t>
  </si>
  <si>
    <t>SP-2816</t>
  </si>
  <si>
    <t>SP-2817</t>
  </si>
  <si>
    <t>JAULA IMPORTADA PARA LOROS PEQUEÑOS MONTE VERDE by SUNNY  40X40X59cm</t>
  </si>
  <si>
    <t>SP-2818</t>
  </si>
  <si>
    <t>JAULA IMPORTADA PARA LOROS PEQUEÑOS MONTE VERDE by SUNNY  46X36X66cm</t>
  </si>
  <si>
    <t>SP-2819</t>
  </si>
  <si>
    <t>JAULA IMPORTADA PARA AVES MONTE VERDE by SUNNY  46X36X66cm</t>
  </si>
  <si>
    <t>SP-2820</t>
  </si>
  <si>
    <t>JAULA IMPORTADA PARA AVES MONTE VERDE by SUNNY  46X36X92cm</t>
  </si>
  <si>
    <t>SP-2821</t>
  </si>
  <si>
    <t>JAULA IMPORTADA PARA AVES MONTE VERDE by SUNNY  78X48X140cm</t>
  </si>
  <si>
    <t>SP-2822</t>
  </si>
  <si>
    <t>JAULA IMPORTADA PARA LOROS MEDIANOS Y GRANDES MONTE VERDE by SUNNY  46X46X192cm</t>
  </si>
  <si>
    <t>SP-2823</t>
  </si>
  <si>
    <t>JAULA IMPORTADA PARA AVES TIPO CILINDRO MONTE VERDE by SUNNY  33X56cm</t>
  </si>
  <si>
    <t>SP-2824</t>
  </si>
  <si>
    <t>JAULA IMPORTADA PARA AVES TIPO CILINDRO MONTE VERDE by SUNNY  33X70cm</t>
  </si>
  <si>
    <t>SP-2825</t>
  </si>
  <si>
    <t>JAULA IMPORTADA PARA AVES TIPO CILINDRO MONTE VERDE by SUNNY  42X70cm</t>
  </si>
  <si>
    <t>SP-2826</t>
  </si>
  <si>
    <t>JAULA IMPORTADA PARA LOROS MEDIANOS Y GRANDES MONTE VERDE by SUNNY  61X56X160cm</t>
  </si>
  <si>
    <t>SP-2827</t>
  </si>
  <si>
    <t>JAULA IMPORTADA PARA LOROS MEDIANOS Y GRANDES MONTE VERDE by SUNNY  81X56X170cm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</si>
</sst>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9.0"/>
      <color theme="1"/>
      <name val="Tahoma"/>
    </font>
    <font>
      <sz val="10.0"/>
      <color theme="1"/>
      <name val="Tahoma"/>
    </font>
    <font>
      <sz val="10.0"/>
      <color theme="1"/>
      <name val="Arial"/>
    </font>
    <font>
      <b/>
      <sz val="10.0"/>
      <color theme="1"/>
      <name val="Tahoma"/>
    </font>
    <font>
      <sz val="9.0"/>
      <color rgb="FF000000"/>
      <name val="Tahoma"/>
    </font>
    <font>
      <sz val="9.0"/>
      <color theme="1"/>
      <name val="Merriweather"/>
    </font>
    <font>
      <b/>
      <sz val="8.0"/>
      <color rgb="FF333399"/>
      <name val="Tahoma"/>
    </font>
    <font>
      <b/>
      <u/>
      <sz val="10.0"/>
      <color rgb="FF333399"/>
      <name val="Tahoma"/>
    </font>
    <font>
      <sz val="9.0"/>
      <color rgb="FF333399"/>
      <name val="Tahoma"/>
    </font>
    <font>
      <b/>
      <u/>
      <sz val="14.0"/>
      <color rgb="FF333399"/>
      <name val="Tahoma"/>
    </font>
    <font>
      <b/>
      <sz val="10.0"/>
      <color rgb="FF333399"/>
      <name val="Tahoma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2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2" xfId="0" applyAlignment="1" applyBorder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3" fillId="0" fontId="1" numFmtId="2" xfId="0" applyAlignment="1" applyBorder="1" applyFont="1" applyNumberForma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2" xfId="0" applyAlignment="1" applyBorder="1" applyFont="1" applyNumberFormat="1">
      <alignment horizontal="center"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3" fillId="0" fontId="2" numFmtId="2" xfId="0" applyAlignment="1" applyBorder="1" applyFont="1" applyNumberForma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2" xfId="0" applyAlignment="1" applyFont="1" applyNumberForma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2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08.25"/>
    <col customWidth="1" min="3" max="3" width="9.0"/>
    <col customWidth="1" min="4" max="4" width="12.0"/>
    <col customWidth="1" min="5" max="5" width="11.63"/>
    <col customWidth="1" min="6" max="9" width="10.0"/>
    <col customWidth="1" min="10" max="10" width="16.38"/>
    <col customWidth="1" min="11" max="22" width="10.0"/>
  </cols>
  <sheetData>
    <row r="1" ht="13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/>
    </row>
    <row r="2" ht="13.5" customHeight="1">
      <c r="A2" s="5" t="s">
        <v>5</v>
      </c>
      <c r="B2" s="6" t="s">
        <v>6</v>
      </c>
      <c r="C2" s="7">
        <v>50.0</v>
      </c>
      <c r="D2" s="8">
        <v>15.0</v>
      </c>
      <c r="E2" s="8">
        <f t="shared" ref="E2:E33" si="1">D2/0.45</f>
        <v>33.33333333</v>
      </c>
      <c r="F2" s="4"/>
    </row>
    <row r="3" ht="13.5" customHeight="1">
      <c r="A3" s="5" t="s">
        <v>7</v>
      </c>
      <c r="B3" s="6" t="s">
        <v>8</v>
      </c>
      <c r="C3" s="7">
        <v>50.0</v>
      </c>
      <c r="D3" s="8">
        <v>15.0</v>
      </c>
      <c r="E3" s="8">
        <f t="shared" si="1"/>
        <v>33.33333333</v>
      </c>
      <c r="F3" s="4"/>
    </row>
    <row r="4" ht="12.75" customHeight="1">
      <c r="A4" s="5" t="s">
        <v>9</v>
      </c>
      <c r="B4" s="6" t="s">
        <v>10</v>
      </c>
      <c r="C4" s="7">
        <v>50.0</v>
      </c>
      <c r="D4" s="8">
        <v>15.0</v>
      </c>
      <c r="E4" s="8">
        <f t="shared" si="1"/>
        <v>33.33333333</v>
      </c>
      <c r="F4" s="4"/>
    </row>
    <row r="5" ht="12.75" customHeight="1">
      <c r="A5" s="5" t="s">
        <v>11</v>
      </c>
      <c r="B5" s="6" t="s">
        <v>12</v>
      </c>
      <c r="C5" s="7">
        <v>50.0</v>
      </c>
      <c r="D5" s="8">
        <v>15.0</v>
      </c>
      <c r="E5" s="8">
        <f t="shared" si="1"/>
        <v>33.33333333</v>
      </c>
      <c r="F5" s="4"/>
    </row>
    <row r="6" ht="12.75" customHeight="1">
      <c r="A6" s="5" t="s">
        <v>13</v>
      </c>
      <c r="B6" s="6" t="s">
        <v>14</v>
      </c>
      <c r="C6" s="7">
        <v>50.0</v>
      </c>
      <c r="D6" s="8">
        <v>17.0</v>
      </c>
      <c r="E6" s="8">
        <f t="shared" si="1"/>
        <v>37.77777778</v>
      </c>
      <c r="F6" s="4"/>
    </row>
    <row r="7" ht="12.75" customHeight="1">
      <c r="A7" s="5" t="s">
        <v>15</v>
      </c>
      <c r="B7" s="6" t="s">
        <v>16</v>
      </c>
      <c r="C7" s="7">
        <v>50.0</v>
      </c>
      <c r="D7" s="8">
        <v>17.0</v>
      </c>
      <c r="E7" s="8">
        <f t="shared" si="1"/>
        <v>37.77777778</v>
      </c>
      <c r="F7" s="4"/>
    </row>
    <row r="8" ht="12.75" customHeight="1">
      <c r="A8" s="5" t="s">
        <v>17</v>
      </c>
      <c r="B8" s="6" t="s">
        <v>18</v>
      </c>
      <c r="C8" s="7">
        <v>50.0</v>
      </c>
      <c r="D8" s="8">
        <v>15.0</v>
      </c>
      <c r="E8" s="8">
        <f t="shared" si="1"/>
        <v>33.33333333</v>
      </c>
      <c r="F8" s="4"/>
    </row>
    <row r="9" ht="12.75" customHeight="1">
      <c r="A9" s="5" t="s">
        <v>19</v>
      </c>
      <c r="B9" s="6" t="s">
        <v>20</v>
      </c>
      <c r="C9" s="7">
        <v>50.0</v>
      </c>
      <c r="D9" s="8">
        <v>15.0</v>
      </c>
      <c r="E9" s="8">
        <f t="shared" si="1"/>
        <v>33.33333333</v>
      </c>
      <c r="F9" s="4"/>
    </row>
    <row r="10" ht="12.75" customHeight="1">
      <c r="A10" s="5" t="s">
        <v>21</v>
      </c>
      <c r="B10" s="6" t="s">
        <v>22</v>
      </c>
      <c r="C10" s="7">
        <v>50.0</v>
      </c>
      <c r="D10" s="8">
        <v>17.0</v>
      </c>
      <c r="E10" s="8">
        <f t="shared" si="1"/>
        <v>37.77777778</v>
      </c>
      <c r="F10" s="4"/>
    </row>
    <row r="11" ht="12.75" customHeight="1">
      <c r="A11" s="5" t="s">
        <v>23</v>
      </c>
      <c r="B11" s="6" t="s">
        <v>24</v>
      </c>
      <c r="C11" s="7">
        <v>50.0</v>
      </c>
      <c r="D11" s="8">
        <v>17.0</v>
      </c>
      <c r="E11" s="8">
        <f t="shared" si="1"/>
        <v>37.77777778</v>
      </c>
      <c r="F11" s="4"/>
    </row>
    <row r="12" ht="12.75" customHeight="1">
      <c r="A12" s="5" t="s">
        <v>25</v>
      </c>
      <c r="B12" s="6" t="s">
        <v>26</v>
      </c>
      <c r="C12" s="7">
        <v>50.0</v>
      </c>
      <c r="D12" s="8">
        <v>15.0</v>
      </c>
      <c r="E12" s="8">
        <f t="shared" si="1"/>
        <v>33.33333333</v>
      </c>
      <c r="F12" s="4"/>
    </row>
    <row r="13" ht="12.75" customHeight="1">
      <c r="A13" s="5" t="s">
        <v>27</v>
      </c>
      <c r="B13" s="6" t="s">
        <v>28</v>
      </c>
      <c r="C13" s="7">
        <v>50.0</v>
      </c>
      <c r="D13" s="8">
        <v>15.0</v>
      </c>
      <c r="E13" s="8">
        <f t="shared" si="1"/>
        <v>33.33333333</v>
      </c>
      <c r="F13" s="4"/>
    </row>
    <row r="14" ht="12.75" customHeight="1">
      <c r="A14" s="5" t="s">
        <v>29</v>
      </c>
      <c r="B14" s="6" t="s">
        <v>30</v>
      </c>
      <c r="C14" s="7">
        <v>50.0</v>
      </c>
      <c r="D14" s="8">
        <v>15.0</v>
      </c>
      <c r="E14" s="8">
        <f t="shared" si="1"/>
        <v>33.33333333</v>
      </c>
      <c r="F14" s="4"/>
    </row>
    <row r="15" ht="12.75" customHeight="1">
      <c r="A15" s="5" t="s">
        <v>31</v>
      </c>
      <c r="B15" s="6" t="s">
        <v>32</v>
      </c>
      <c r="C15" s="7">
        <v>15.0</v>
      </c>
      <c r="D15" s="8">
        <v>45.0</v>
      </c>
      <c r="E15" s="8">
        <f t="shared" si="1"/>
        <v>100</v>
      </c>
      <c r="F15" s="4"/>
    </row>
    <row r="16" ht="12.75" customHeight="1">
      <c r="A16" s="5" t="s">
        <v>33</v>
      </c>
      <c r="B16" s="6" t="s">
        <v>34</v>
      </c>
      <c r="C16" s="7">
        <v>15.0</v>
      </c>
      <c r="D16" s="8">
        <v>45.0</v>
      </c>
      <c r="E16" s="8">
        <f t="shared" si="1"/>
        <v>100</v>
      </c>
      <c r="F16" s="4"/>
    </row>
    <row r="17" ht="12.75" customHeight="1">
      <c r="A17" s="5" t="s">
        <v>35</v>
      </c>
      <c r="B17" s="6" t="s">
        <v>36</v>
      </c>
      <c r="C17" s="7">
        <v>15.0</v>
      </c>
      <c r="D17" s="8">
        <v>45.0</v>
      </c>
      <c r="E17" s="8">
        <f t="shared" si="1"/>
        <v>100</v>
      </c>
      <c r="F17" s="4"/>
    </row>
    <row r="18" ht="12.75" customHeight="1">
      <c r="A18" s="5" t="s">
        <v>37</v>
      </c>
      <c r="B18" s="6" t="s">
        <v>38</v>
      </c>
      <c r="C18" s="7">
        <v>20.0</v>
      </c>
      <c r="D18" s="8">
        <v>45.0</v>
      </c>
      <c r="E18" s="8">
        <f t="shared" si="1"/>
        <v>100</v>
      </c>
      <c r="F18" s="4"/>
    </row>
    <row r="19" ht="12.75" customHeight="1">
      <c r="A19" s="5" t="s">
        <v>39</v>
      </c>
      <c r="B19" s="6" t="s">
        <v>40</v>
      </c>
      <c r="C19" s="7">
        <v>15.0</v>
      </c>
      <c r="D19" s="8">
        <v>48.0</v>
      </c>
      <c r="E19" s="8">
        <f t="shared" si="1"/>
        <v>106.6666667</v>
      </c>
      <c r="F19" s="4"/>
    </row>
    <row r="20" ht="12.75" customHeight="1">
      <c r="A20" s="5" t="s">
        <v>41</v>
      </c>
      <c r="B20" s="6" t="s">
        <v>42</v>
      </c>
      <c r="C20" s="7">
        <v>15.0</v>
      </c>
      <c r="D20" s="8">
        <v>55.0</v>
      </c>
      <c r="E20" s="8">
        <f t="shared" si="1"/>
        <v>122.2222222</v>
      </c>
      <c r="F20" s="4"/>
    </row>
    <row r="21" ht="12.75" customHeight="1">
      <c r="A21" s="5" t="s">
        <v>43</v>
      </c>
      <c r="B21" s="6" t="s">
        <v>44</v>
      </c>
      <c r="C21" s="7">
        <v>20.0</v>
      </c>
      <c r="D21" s="8">
        <v>55.0</v>
      </c>
      <c r="E21" s="8">
        <f t="shared" si="1"/>
        <v>122.2222222</v>
      </c>
      <c r="F21" s="4"/>
    </row>
    <row r="22" ht="12.75" customHeight="1">
      <c r="A22" s="5" t="s">
        <v>45</v>
      </c>
      <c r="B22" s="6" t="s">
        <v>46</v>
      </c>
      <c r="C22" s="7">
        <v>15.0</v>
      </c>
      <c r="D22" s="8">
        <v>55.0</v>
      </c>
      <c r="E22" s="8">
        <f t="shared" si="1"/>
        <v>122.2222222</v>
      </c>
      <c r="F22" s="4"/>
    </row>
    <row r="23" ht="12.75" customHeight="1">
      <c r="A23" s="5" t="s">
        <v>47</v>
      </c>
      <c r="B23" s="6" t="s">
        <v>48</v>
      </c>
      <c r="C23" s="7">
        <v>20.0</v>
      </c>
      <c r="D23" s="8">
        <v>55.0</v>
      </c>
      <c r="E23" s="8">
        <f t="shared" si="1"/>
        <v>122.2222222</v>
      </c>
      <c r="F23" s="4"/>
    </row>
    <row r="24" ht="12.75" customHeight="1">
      <c r="A24" s="5" t="s">
        <v>49</v>
      </c>
      <c r="B24" s="6" t="s">
        <v>50</v>
      </c>
      <c r="C24" s="7">
        <v>15.0</v>
      </c>
      <c r="D24" s="8">
        <v>55.0</v>
      </c>
      <c r="E24" s="8">
        <f t="shared" si="1"/>
        <v>122.2222222</v>
      </c>
      <c r="F24" s="4"/>
    </row>
    <row r="25" ht="12.75" customHeight="1">
      <c r="A25" s="5" t="s">
        <v>51</v>
      </c>
      <c r="B25" s="6" t="s">
        <v>52</v>
      </c>
      <c r="C25" s="7">
        <v>20.0</v>
      </c>
      <c r="D25" s="8">
        <v>55.0</v>
      </c>
      <c r="E25" s="8">
        <f t="shared" si="1"/>
        <v>122.2222222</v>
      </c>
      <c r="F25" s="4"/>
    </row>
    <row r="26" ht="12.75" customHeight="1">
      <c r="A26" s="5" t="s">
        <v>53</v>
      </c>
      <c r="B26" s="6" t="s">
        <v>54</v>
      </c>
      <c r="C26" s="7">
        <v>15.0</v>
      </c>
      <c r="D26" s="8">
        <v>45.0</v>
      </c>
      <c r="E26" s="8">
        <f t="shared" si="1"/>
        <v>100</v>
      </c>
      <c r="F26" s="4"/>
    </row>
    <row r="27" ht="12.75" customHeight="1">
      <c r="A27" s="5" t="s">
        <v>55</v>
      </c>
      <c r="B27" s="6" t="s">
        <v>56</v>
      </c>
      <c r="C27" s="7">
        <v>15.0</v>
      </c>
      <c r="D27" s="8">
        <v>55.0</v>
      </c>
      <c r="E27" s="8">
        <f t="shared" si="1"/>
        <v>122.2222222</v>
      </c>
      <c r="F27" s="4"/>
    </row>
    <row r="28" ht="13.5" customHeight="1">
      <c r="A28" s="5" t="s">
        <v>57</v>
      </c>
      <c r="B28" s="6" t="s">
        <v>58</v>
      </c>
      <c r="C28" s="7">
        <v>15.0</v>
      </c>
      <c r="D28" s="8">
        <v>55.0</v>
      </c>
      <c r="E28" s="8">
        <f t="shared" si="1"/>
        <v>122.2222222</v>
      </c>
      <c r="F28" s="4"/>
    </row>
    <row r="29" ht="12.75" customHeight="1">
      <c r="A29" s="5" t="s">
        <v>59</v>
      </c>
      <c r="B29" s="6" t="s">
        <v>60</v>
      </c>
      <c r="C29" s="7">
        <v>280.0</v>
      </c>
      <c r="D29" s="8">
        <v>9.0</v>
      </c>
      <c r="E29" s="8">
        <f t="shared" si="1"/>
        <v>20</v>
      </c>
      <c r="F29" s="4"/>
    </row>
    <row r="30" ht="12.75" customHeight="1">
      <c r="A30" s="5" t="s">
        <v>61</v>
      </c>
      <c r="B30" s="6" t="s">
        <v>62</v>
      </c>
      <c r="C30" s="7">
        <v>210.0</v>
      </c>
      <c r="D30" s="8">
        <v>14.0</v>
      </c>
      <c r="E30" s="8">
        <f t="shared" si="1"/>
        <v>31.11111111</v>
      </c>
      <c r="F30" s="4"/>
    </row>
    <row r="31" ht="12.75" customHeight="1">
      <c r="A31" s="5" t="s">
        <v>63</v>
      </c>
      <c r="B31" s="6" t="s">
        <v>64</v>
      </c>
      <c r="C31" s="7">
        <v>140.0</v>
      </c>
      <c r="D31" s="8">
        <v>19.0</v>
      </c>
      <c r="E31" s="8">
        <f t="shared" si="1"/>
        <v>42.22222222</v>
      </c>
      <c r="F31" s="4"/>
    </row>
    <row r="32" ht="12.75" customHeight="1">
      <c r="A32" s="5" t="s">
        <v>65</v>
      </c>
      <c r="B32" s="6" t="s">
        <v>66</v>
      </c>
      <c r="C32" s="7">
        <v>30.0</v>
      </c>
      <c r="D32" s="8">
        <v>57.0</v>
      </c>
      <c r="E32" s="8">
        <f t="shared" si="1"/>
        <v>126.6666667</v>
      </c>
      <c r="F32" s="4"/>
    </row>
    <row r="33" ht="12.75" customHeight="1">
      <c r="A33" s="5" t="s">
        <v>67</v>
      </c>
      <c r="B33" s="6" t="s">
        <v>68</v>
      </c>
      <c r="C33" s="7">
        <v>120.0</v>
      </c>
      <c r="D33" s="8">
        <v>5.5</v>
      </c>
      <c r="E33" s="8">
        <f t="shared" si="1"/>
        <v>12.22222222</v>
      </c>
      <c r="F33" s="4"/>
    </row>
    <row r="34" ht="12.75" customHeight="1">
      <c r="A34" s="9">
        <v>70120.0</v>
      </c>
      <c r="B34" s="6" t="s">
        <v>69</v>
      </c>
      <c r="C34" s="7">
        <v>5.0</v>
      </c>
      <c r="D34" s="8">
        <v>113.0</v>
      </c>
      <c r="E34" s="10">
        <f t="shared" ref="E34:E37" si="2">D34/0.5</f>
        <v>226</v>
      </c>
      <c r="F34" s="4"/>
    </row>
    <row r="35" ht="12.75" customHeight="1">
      <c r="A35" s="9">
        <v>70122.0</v>
      </c>
      <c r="B35" s="6" t="s">
        <v>70</v>
      </c>
      <c r="C35" s="7">
        <v>5.0</v>
      </c>
      <c r="D35" s="8">
        <v>242.5</v>
      </c>
      <c r="E35" s="10">
        <f t="shared" si="2"/>
        <v>485</v>
      </c>
      <c r="F35" s="4"/>
    </row>
    <row r="36" ht="12.75" customHeight="1">
      <c r="A36" s="9">
        <v>71135.0</v>
      </c>
      <c r="B36" s="6" t="s">
        <v>71</v>
      </c>
      <c r="C36" s="7">
        <v>36.0</v>
      </c>
      <c r="D36" s="8">
        <v>910.0</v>
      </c>
      <c r="E36" s="10">
        <f t="shared" si="2"/>
        <v>1820</v>
      </c>
      <c r="F36" s="4"/>
    </row>
    <row r="37" ht="12.75" customHeight="1">
      <c r="A37" s="9">
        <v>72020.0</v>
      </c>
      <c r="B37" s="6" t="s">
        <v>72</v>
      </c>
      <c r="C37" s="7">
        <v>5.0</v>
      </c>
      <c r="D37" s="8">
        <v>134.5</v>
      </c>
      <c r="E37" s="10">
        <f t="shared" si="2"/>
        <v>269</v>
      </c>
      <c r="F37" s="4"/>
    </row>
    <row r="38" ht="12.75" customHeight="1">
      <c r="A38" s="11" t="s">
        <v>73</v>
      </c>
      <c r="B38" s="12" t="s">
        <v>74</v>
      </c>
      <c r="C38" s="13">
        <v>24.0</v>
      </c>
      <c r="D38" s="14">
        <v>40.0</v>
      </c>
      <c r="E38" s="8">
        <f t="shared" ref="E38:E52" si="3">D38*2</f>
        <v>80</v>
      </c>
      <c r="F38" s="4"/>
    </row>
    <row r="39" ht="12.75" customHeight="1">
      <c r="A39" s="11" t="s">
        <v>75</v>
      </c>
      <c r="B39" s="12" t="s">
        <v>76</v>
      </c>
      <c r="C39" s="13">
        <v>12.0</v>
      </c>
      <c r="D39" s="14">
        <v>75.0</v>
      </c>
      <c r="E39" s="8">
        <f t="shared" si="3"/>
        <v>150</v>
      </c>
      <c r="F39" s="4"/>
    </row>
    <row r="40" ht="12.75" customHeight="1">
      <c r="A40" s="11" t="s">
        <v>77</v>
      </c>
      <c r="B40" s="12" t="s">
        <v>78</v>
      </c>
      <c r="C40" s="13">
        <v>24.0</v>
      </c>
      <c r="D40" s="14">
        <v>40.0</v>
      </c>
      <c r="E40" s="8">
        <f t="shared" si="3"/>
        <v>80</v>
      </c>
      <c r="F40" s="4"/>
    </row>
    <row r="41" ht="12.75" customHeight="1">
      <c r="A41" s="11" t="s">
        <v>79</v>
      </c>
      <c r="B41" s="12" t="s">
        <v>80</v>
      </c>
      <c r="C41" s="13">
        <v>12.0</v>
      </c>
      <c r="D41" s="14">
        <v>75.0</v>
      </c>
      <c r="E41" s="8">
        <f t="shared" si="3"/>
        <v>150</v>
      </c>
      <c r="F41" s="4"/>
    </row>
    <row r="42" ht="12.75" customHeight="1">
      <c r="A42" s="11" t="s">
        <v>81</v>
      </c>
      <c r="B42" s="12" t="s">
        <v>82</v>
      </c>
      <c r="C42" s="13">
        <v>12.0</v>
      </c>
      <c r="D42" s="14">
        <v>75.0</v>
      </c>
      <c r="E42" s="8">
        <f t="shared" si="3"/>
        <v>150</v>
      </c>
      <c r="F42" s="4"/>
    </row>
    <row r="43" ht="12.75" customHeight="1">
      <c r="A43" s="15" t="s">
        <v>83</v>
      </c>
      <c r="B43" s="16" t="s">
        <v>84</v>
      </c>
      <c r="C43" s="17">
        <v>24.0</v>
      </c>
      <c r="D43" s="18">
        <v>40.0</v>
      </c>
      <c r="E43" s="10">
        <f t="shared" si="3"/>
        <v>80</v>
      </c>
      <c r="F43" s="4"/>
    </row>
    <row r="44" ht="12.75" customHeight="1">
      <c r="A44" s="15" t="s">
        <v>85</v>
      </c>
      <c r="B44" s="16" t="s">
        <v>86</v>
      </c>
      <c r="C44" s="17">
        <v>6.0</v>
      </c>
      <c r="D44" s="18">
        <v>77.0</v>
      </c>
      <c r="E44" s="10">
        <f t="shared" si="3"/>
        <v>154</v>
      </c>
      <c r="F44" s="4"/>
    </row>
    <row r="45" ht="12.75" customHeight="1">
      <c r="A45" s="11" t="s">
        <v>87</v>
      </c>
      <c r="B45" s="12" t="s">
        <v>88</v>
      </c>
      <c r="C45" s="13">
        <v>6.0</v>
      </c>
      <c r="D45" s="14">
        <v>77.0</v>
      </c>
      <c r="E45" s="8">
        <f t="shared" si="3"/>
        <v>154</v>
      </c>
      <c r="F45" s="4"/>
    </row>
    <row r="46" ht="12.75" customHeight="1">
      <c r="A46" s="11" t="s">
        <v>89</v>
      </c>
      <c r="B46" s="12" t="s">
        <v>90</v>
      </c>
      <c r="C46" s="13">
        <v>6.0</v>
      </c>
      <c r="D46" s="14">
        <v>77.0</v>
      </c>
      <c r="E46" s="8">
        <f t="shared" si="3"/>
        <v>154</v>
      </c>
      <c r="F46" s="4"/>
    </row>
    <row r="47" ht="12.75" customHeight="1">
      <c r="A47" s="15" t="s">
        <v>91</v>
      </c>
      <c r="B47" s="16" t="s">
        <v>92</v>
      </c>
      <c r="C47" s="17">
        <v>6.0</v>
      </c>
      <c r="D47" s="18">
        <v>95.0</v>
      </c>
      <c r="E47" s="10">
        <f t="shared" si="3"/>
        <v>190</v>
      </c>
      <c r="F47" s="4"/>
    </row>
    <row r="48" ht="12.75" customHeight="1">
      <c r="A48" s="11" t="s">
        <v>93</v>
      </c>
      <c r="B48" s="12" t="s">
        <v>94</v>
      </c>
      <c r="C48" s="13">
        <v>6.0</v>
      </c>
      <c r="D48" s="14">
        <v>140.0</v>
      </c>
      <c r="E48" s="8">
        <f t="shared" si="3"/>
        <v>280</v>
      </c>
      <c r="F48" s="4"/>
    </row>
    <row r="49" ht="12.75" customHeight="1">
      <c r="A49" s="11" t="s">
        <v>95</v>
      </c>
      <c r="B49" s="12" t="s">
        <v>96</v>
      </c>
      <c r="C49" s="13">
        <v>6.0</v>
      </c>
      <c r="D49" s="14">
        <v>140.0</v>
      </c>
      <c r="E49" s="8">
        <f t="shared" si="3"/>
        <v>280</v>
      </c>
      <c r="F49" s="4"/>
    </row>
    <row r="50" ht="12.75" customHeight="1">
      <c r="A50" s="11" t="s">
        <v>97</v>
      </c>
      <c r="B50" s="12" t="s">
        <v>98</v>
      </c>
      <c r="C50" s="13">
        <v>6.0</v>
      </c>
      <c r="D50" s="14">
        <v>140.0</v>
      </c>
      <c r="E50" s="8">
        <f t="shared" si="3"/>
        <v>280</v>
      </c>
      <c r="F50" s="4"/>
    </row>
    <row r="51" ht="12.75" customHeight="1">
      <c r="A51" s="11" t="s">
        <v>99</v>
      </c>
      <c r="B51" s="12" t="s">
        <v>100</v>
      </c>
      <c r="C51" s="13">
        <v>6.0</v>
      </c>
      <c r="D51" s="14">
        <v>140.0</v>
      </c>
      <c r="E51" s="8">
        <f t="shared" si="3"/>
        <v>280</v>
      </c>
      <c r="F51" s="4"/>
    </row>
    <row r="52" ht="12.75" customHeight="1">
      <c r="A52" s="15" t="s">
        <v>101</v>
      </c>
      <c r="B52" s="16" t="s">
        <v>102</v>
      </c>
      <c r="C52" s="17">
        <v>6.0</v>
      </c>
      <c r="D52" s="18">
        <v>174.0</v>
      </c>
      <c r="E52" s="10">
        <f t="shared" si="3"/>
        <v>348</v>
      </c>
      <c r="F52" s="4"/>
    </row>
    <row r="53" ht="12.75" customHeight="1">
      <c r="A53" s="11" t="s">
        <v>103</v>
      </c>
      <c r="B53" s="12" t="s">
        <v>104</v>
      </c>
      <c r="C53" s="13">
        <v>24.0</v>
      </c>
      <c r="D53" s="8">
        <v>49.0</v>
      </c>
      <c r="E53" s="10">
        <f t="shared" ref="E53:E61" si="4">D53/0.5</f>
        <v>98</v>
      </c>
      <c r="F53" s="4"/>
    </row>
    <row r="54" ht="12.75" customHeight="1">
      <c r="A54" s="11" t="s">
        <v>105</v>
      </c>
      <c r="B54" s="12" t="s">
        <v>106</v>
      </c>
      <c r="C54" s="13">
        <v>24.0</v>
      </c>
      <c r="D54" s="8">
        <v>49.0</v>
      </c>
      <c r="E54" s="10">
        <f t="shared" si="4"/>
        <v>98</v>
      </c>
      <c r="F54" s="4"/>
    </row>
    <row r="55" ht="12.75" customHeight="1">
      <c r="A55" s="11" t="s">
        <v>107</v>
      </c>
      <c r="B55" s="12" t="s">
        <v>108</v>
      </c>
      <c r="C55" s="13">
        <v>24.0</v>
      </c>
      <c r="D55" s="8">
        <v>49.0</v>
      </c>
      <c r="E55" s="10">
        <f t="shared" si="4"/>
        <v>98</v>
      </c>
      <c r="F55" s="4"/>
    </row>
    <row r="56" ht="12.75" customHeight="1">
      <c r="A56" s="11" t="s">
        <v>109</v>
      </c>
      <c r="B56" s="12" t="s">
        <v>110</v>
      </c>
      <c r="C56" s="13">
        <v>18.0</v>
      </c>
      <c r="D56" s="8">
        <v>49.0</v>
      </c>
      <c r="E56" s="10">
        <f t="shared" si="4"/>
        <v>98</v>
      </c>
      <c r="F56" s="4"/>
    </row>
    <row r="57" ht="12.75" customHeight="1">
      <c r="A57" s="11" t="s">
        <v>111</v>
      </c>
      <c r="B57" s="12" t="s">
        <v>112</v>
      </c>
      <c r="C57" s="13">
        <v>6.0</v>
      </c>
      <c r="D57" s="8">
        <v>88.0</v>
      </c>
      <c r="E57" s="10">
        <f t="shared" si="4"/>
        <v>176</v>
      </c>
      <c r="F57" s="4"/>
    </row>
    <row r="58" ht="12.75" customHeight="1">
      <c r="A58" s="11" t="s">
        <v>113</v>
      </c>
      <c r="B58" s="12" t="s">
        <v>114</v>
      </c>
      <c r="C58" s="13">
        <v>6.0</v>
      </c>
      <c r="D58" s="8">
        <v>88.0</v>
      </c>
      <c r="E58" s="10">
        <f t="shared" si="4"/>
        <v>176</v>
      </c>
      <c r="F58" s="4"/>
    </row>
    <row r="59" ht="12.75" customHeight="1">
      <c r="A59" s="11" t="s">
        <v>115</v>
      </c>
      <c r="B59" s="12" t="s">
        <v>116</v>
      </c>
      <c r="C59" s="13">
        <v>6.0</v>
      </c>
      <c r="D59" s="8">
        <v>88.0</v>
      </c>
      <c r="E59" s="10">
        <f t="shared" si="4"/>
        <v>176</v>
      </c>
      <c r="F59" s="4"/>
    </row>
    <row r="60" ht="12.75" customHeight="1">
      <c r="A60" s="11" t="s">
        <v>117</v>
      </c>
      <c r="B60" s="12" t="s">
        <v>118</v>
      </c>
      <c r="C60" s="13">
        <v>6.0</v>
      </c>
      <c r="D60" s="8">
        <v>88.0</v>
      </c>
      <c r="E60" s="10">
        <f t="shared" si="4"/>
        <v>176</v>
      </c>
      <c r="F60" s="4"/>
    </row>
    <row r="61" ht="12.75" customHeight="1">
      <c r="A61" s="11" t="s">
        <v>119</v>
      </c>
      <c r="B61" s="12" t="s">
        <v>120</v>
      </c>
      <c r="C61" s="13">
        <v>6.0</v>
      </c>
      <c r="D61" s="8">
        <v>156.0</v>
      </c>
      <c r="E61" s="10">
        <f t="shared" si="4"/>
        <v>312</v>
      </c>
      <c r="F61" s="4"/>
    </row>
    <row r="62" ht="12.75" customHeight="1">
      <c r="A62" s="5" t="s">
        <v>121</v>
      </c>
      <c r="B62" s="6" t="s">
        <v>122</v>
      </c>
      <c r="C62" s="7">
        <v>60.0</v>
      </c>
      <c r="D62" s="8">
        <v>99.0</v>
      </c>
      <c r="E62" s="8">
        <f t="shared" ref="E62:E370" si="5">D62*2</f>
        <v>198</v>
      </c>
      <c r="F62" s="4"/>
    </row>
    <row r="63" ht="12.75" customHeight="1">
      <c r="A63" s="5" t="s">
        <v>123</v>
      </c>
      <c r="B63" s="6" t="s">
        <v>124</v>
      </c>
      <c r="C63" s="7">
        <v>30.0</v>
      </c>
      <c r="D63" s="8">
        <v>99.0</v>
      </c>
      <c r="E63" s="8">
        <f t="shared" si="5"/>
        <v>198</v>
      </c>
      <c r="F63" s="4"/>
    </row>
    <row r="64" ht="12.75" customHeight="1">
      <c r="A64" s="5" t="s">
        <v>125</v>
      </c>
      <c r="B64" s="6" t="s">
        <v>126</v>
      </c>
      <c r="C64" s="7">
        <v>60.0</v>
      </c>
      <c r="D64" s="8">
        <v>72.0</v>
      </c>
      <c r="E64" s="8">
        <f t="shared" si="5"/>
        <v>144</v>
      </c>
      <c r="F64" s="4"/>
    </row>
    <row r="65" ht="12.75" customHeight="1">
      <c r="A65" s="5" t="s">
        <v>127</v>
      </c>
      <c r="B65" s="6" t="s">
        <v>128</v>
      </c>
      <c r="C65" s="7">
        <v>60.0</v>
      </c>
      <c r="D65" s="8">
        <v>94.0</v>
      </c>
      <c r="E65" s="8">
        <f t="shared" si="5"/>
        <v>188</v>
      </c>
      <c r="F65" s="4"/>
    </row>
    <row r="66" ht="12.75" customHeight="1">
      <c r="A66" s="5" t="s">
        <v>129</v>
      </c>
      <c r="B66" s="6" t="s">
        <v>130</v>
      </c>
      <c r="C66" s="7">
        <v>60.0</v>
      </c>
      <c r="D66" s="8">
        <v>99.0</v>
      </c>
      <c r="E66" s="8">
        <f t="shared" si="5"/>
        <v>198</v>
      </c>
      <c r="F66" s="4"/>
    </row>
    <row r="67" ht="12.75" customHeight="1">
      <c r="A67" s="5" t="s">
        <v>131</v>
      </c>
      <c r="B67" s="6" t="s">
        <v>130</v>
      </c>
      <c r="C67" s="7">
        <v>60.0</v>
      </c>
      <c r="D67" s="8">
        <v>99.0</v>
      </c>
      <c r="E67" s="8">
        <f t="shared" si="5"/>
        <v>198</v>
      </c>
      <c r="F67" s="4"/>
    </row>
    <row r="68" ht="12.75" customHeight="1">
      <c r="A68" s="5" t="s">
        <v>132</v>
      </c>
      <c r="B68" s="6" t="s">
        <v>133</v>
      </c>
      <c r="C68" s="7">
        <v>30.0</v>
      </c>
      <c r="D68" s="8">
        <v>99.0</v>
      </c>
      <c r="E68" s="8">
        <f t="shared" si="5"/>
        <v>198</v>
      </c>
      <c r="F68" s="4"/>
    </row>
    <row r="69" ht="12.75" customHeight="1">
      <c r="A69" s="5" t="s">
        <v>134</v>
      </c>
      <c r="B69" s="6" t="s">
        <v>135</v>
      </c>
      <c r="C69" s="7">
        <v>30.0</v>
      </c>
      <c r="D69" s="8">
        <v>99.0</v>
      </c>
      <c r="E69" s="8">
        <f t="shared" si="5"/>
        <v>198</v>
      </c>
      <c r="F69" s="4"/>
    </row>
    <row r="70" ht="12.75" customHeight="1">
      <c r="A70" s="5" t="s">
        <v>136</v>
      </c>
      <c r="B70" s="6" t="s">
        <v>137</v>
      </c>
      <c r="C70" s="7">
        <v>100.0</v>
      </c>
      <c r="D70" s="8">
        <v>55.5</v>
      </c>
      <c r="E70" s="8">
        <f t="shared" si="5"/>
        <v>111</v>
      </c>
      <c r="F70" s="4"/>
    </row>
    <row r="71" ht="12.75" customHeight="1">
      <c r="A71" s="5" t="s">
        <v>138</v>
      </c>
      <c r="B71" s="6" t="s">
        <v>139</v>
      </c>
      <c r="C71" s="7">
        <v>150.0</v>
      </c>
      <c r="D71" s="8">
        <v>55.5</v>
      </c>
      <c r="E71" s="8">
        <f t="shared" si="5"/>
        <v>111</v>
      </c>
      <c r="F71" s="4"/>
    </row>
    <row r="72" ht="12.75" customHeight="1">
      <c r="A72" s="5" t="s">
        <v>140</v>
      </c>
      <c r="B72" s="6" t="s">
        <v>141</v>
      </c>
      <c r="C72" s="7">
        <v>200.0</v>
      </c>
      <c r="D72" s="8">
        <v>55.5</v>
      </c>
      <c r="E72" s="8">
        <f t="shared" si="5"/>
        <v>111</v>
      </c>
      <c r="F72" s="4"/>
    </row>
    <row r="73" ht="12.75" customHeight="1">
      <c r="A73" s="5" t="s">
        <v>142</v>
      </c>
      <c r="B73" s="6" t="s">
        <v>143</v>
      </c>
      <c r="C73" s="7">
        <v>300.0</v>
      </c>
      <c r="D73" s="8">
        <v>55.5</v>
      </c>
      <c r="E73" s="8">
        <f t="shared" si="5"/>
        <v>111</v>
      </c>
      <c r="F73" s="4"/>
    </row>
    <row r="74" ht="12.75" customHeight="1">
      <c r="A74" s="5" t="s">
        <v>144</v>
      </c>
      <c r="B74" s="6" t="s">
        <v>145</v>
      </c>
      <c r="C74" s="7">
        <v>100.0</v>
      </c>
      <c r="D74" s="8">
        <v>87.5</v>
      </c>
      <c r="E74" s="8">
        <f t="shared" si="5"/>
        <v>175</v>
      </c>
      <c r="F74" s="4"/>
    </row>
    <row r="75" ht="12.75" customHeight="1">
      <c r="A75" s="5" t="s">
        <v>146</v>
      </c>
      <c r="B75" s="6" t="s">
        <v>147</v>
      </c>
      <c r="C75" s="7">
        <v>200.0</v>
      </c>
      <c r="D75" s="8">
        <v>55.5</v>
      </c>
      <c r="E75" s="8">
        <f t="shared" si="5"/>
        <v>111</v>
      </c>
      <c r="F75" s="4"/>
    </row>
    <row r="76" ht="12.75" customHeight="1">
      <c r="A76" s="5" t="s">
        <v>148</v>
      </c>
      <c r="B76" s="6" t="s">
        <v>149</v>
      </c>
      <c r="C76" s="7">
        <v>200.0</v>
      </c>
      <c r="D76" s="8">
        <v>55.5</v>
      </c>
      <c r="E76" s="8">
        <f t="shared" si="5"/>
        <v>111</v>
      </c>
      <c r="F76" s="4"/>
    </row>
    <row r="77" ht="12.75" customHeight="1">
      <c r="A77" s="5" t="s">
        <v>150</v>
      </c>
      <c r="B77" s="6" t="s">
        <v>151</v>
      </c>
      <c r="C77" s="7">
        <v>100.0</v>
      </c>
      <c r="D77" s="8">
        <v>55.5</v>
      </c>
      <c r="E77" s="8">
        <f t="shared" si="5"/>
        <v>111</v>
      </c>
      <c r="F77" s="4"/>
    </row>
    <row r="78" ht="12.75" customHeight="1">
      <c r="A78" s="5" t="s">
        <v>152</v>
      </c>
      <c r="B78" s="6" t="s">
        <v>153</v>
      </c>
      <c r="C78" s="7">
        <v>200.0</v>
      </c>
      <c r="D78" s="8">
        <v>55.5</v>
      </c>
      <c r="E78" s="8">
        <f t="shared" si="5"/>
        <v>111</v>
      </c>
      <c r="F78" s="4"/>
    </row>
    <row r="79" ht="12.75" customHeight="1">
      <c r="A79" s="5" t="s">
        <v>154</v>
      </c>
      <c r="B79" s="6" t="s">
        <v>155</v>
      </c>
      <c r="C79" s="7">
        <v>167.0</v>
      </c>
      <c r="D79" s="8">
        <v>65.0</v>
      </c>
      <c r="E79" s="8">
        <f t="shared" si="5"/>
        <v>130</v>
      </c>
      <c r="F79" s="4"/>
    </row>
    <row r="80" ht="12.75" customHeight="1">
      <c r="A80" s="5" t="s">
        <v>156</v>
      </c>
      <c r="B80" s="6" t="s">
        <v>157</v>
      </c>
      <c r="C80" s="7">
        <v>200.0</v>
      </c>
      <c r="D80" s="8">
        <v>55.5</v>
      </c>
      <c r="E80" s="8">
        <f t="shared" si="5"/>
        <v>111</v>
      </c>
      <c r="F80" s="4"/>
    </row>
    <row r="81" ht="13.5" customHeight="1">
      <c r="A81" s="5" t="s">
        <v>158</v>
      </c>
      <c r="B81" s="6" t="s">
        <v>159</v>
      </c>
      <c r="C81" s="7">
        <v>120.0</v>
      </c>
      <c r="D81" s="8">
        <v>77.0</v>
      </c>
      <c r="E81" s="8">
        <f t="shared" si="5"/>
        <v>154</v>
      </c>
      <c r="F81" s="4"/>
    </row>
    <row r="82" ht="12.75" customHeight="1">
      <c r="A82" s="5" t="s">
        <v>160</v>
      </c>
      <c r="B82" s="6" t="s">
        <v>161</v>
      </c>
      <c r="C82" s="7">
        <v>120.0</v>
      </c>
      <c r="D82" s="8">
        <v>90.0</v>
      </c>
      <c r="E82" s="8">
        <f t="shared" si="5"/>
        <v>180</v>
      </c>
      <c r="F82" s="4"/>
    </row>
    <row r="83" ht="12.75" customHeight="1">
      <c r="A83" s="5" t="s">
        <v>162</v>
      </c>
      <c r="B83" s="6" t="s">
        <v>163</v>
      </c>
      <c r="C83" s="7">
        <v>120.0</v>
      </c>
      <c r="D83" s="8">
        <v>55.5</v>
      </c>
      <c r="E83" s="8">
        <f t="shared" si="5"/>
        <v>111</v>
      </c>
      <c r="F83" s="4"/>
    </row>
    <row r="84" ht="12.75" customHeight="1">
      <c r="A84" s="5" t="s">
        <v>164</v>
      </c>
      <c r="B84" s="6" t="s">
        <v>165</v>
      </c>
      <c r="C84" s="7">
        <v>150.0</v>
      </c>
      <c r="D84" s="8">
        <v>55.5</v>
      </c>
      <c r="E84" s="8">
        <f t="shared" si="5"/>
        <v>111</v>
      </c>
      <c r="F84" s="4"/>
    </row>
    <row r="85" ht="12.75" customHeight="1">
      <c r="A85" s="5" t="s">
        <v>166</v>
      </c>
      <c r="B85" s="6" t="s">
        <v>167</v>
      </c>
      <c r="C85" s="7">
        <v>120.0</v>
      </c>
      <c r="D85" s="8">
        <v>55.5</v>
      </c>
      <c r="E85" s="8">
        <f t="shared" si="5"/>
        <v>111</v>
      </c>
      <c r="F85" s="4"/>
    </row>
    <row r="86" ht="12.75" customHeight="1">
      <c r="A86" s="5" t="s">
        <v>168</v>
      </c>
      <c r="B86" s="6" t="s">
        <v>169</v>
      </c>
      <c r="C86" s="7">
        <v>120.0</v>
      </c>
      <c r="D86" s="8">
        <v>55.5</v>
      </c>
      <c r="E86" s="8">
        <f t="shared" si="5"/>
        <v>111</v>
      </c>
      <c r="F86" s="4"/>
    </row>
    <row r="87" ht="12.75" customHeight="1">
      <c r="A87" s="5" t="s">
        <v>170</v>
      </c>
      <c r="B87" s="6" t="s">
        <v>171</v>
      </c>
      <c r="C87" s="7">
        <v>120.0</v>
      </c>
      <c r="D87" s="8">
        <v>55.5</v>
      </c>
      <c r="E87" s="8">
        <f t="shared" si="5"/>
        <v>111</v>
      </c>
      <c r="F87" s="4"/>
    </row>
    <row r="88" ht="12.75" customHeight="1">
      <c r="A88" s="5" t="s">
        <v>172</v>
      </c>
      <c r="B88" s="6" t="s">
        <v>173</v>
      </c>
      <c r="C88" s="7">
        <v>100.0</v>
      </c>
      <c r="D88" s="8">
        <v>55.5</v>
      </c>
      <c r="E88" s="8">
        <f t="shared" si="5"/>
        <v>111</v>
      </c>
      <c r="F88" s="4"/>
    </row>
    <row r="89" ht="12.75" customHeight="1">
      <c r="A89" s="5" t="s">
        <v>174</v>
      </c>
      <c r="B89" s="6" t="s">
        <v>175</v>
      </c>
      <c r="C89" s="7">
        <v>100.0</v>
      </c>
      <c r="D89" s="8">
        <v>55.5</v>
      </c>
      <c r="E89" s="8">
        <f t="shared" si="5"/>
        <v>111</v>
      </c>
      <c r="F89" s="4"/>
    </row>
    <row r="90" ht="12.75" customHeight="1">
      <c r="A90" s="5" t="s">
        <v>176</v>
      </c>
      <c r="B90" s="6" t="s">
        <v>177</v>
      </c>
      <c r="C90" s="7">
        <v>100.0</v>
      </c>
      <c r="D90" s="8">
        <v>55.5</v>
      </c>
      <c r="E90" s="8">
        <f t="shared" si="5"/>
        <v>111</v>
      </c>
      <c r="F90" s="4"/>
    </row>
    <row r="91" ht="12.75" customHeight="1">
      <c r="A91" s="5" t="s">
        <v>178</v>
      </c>
      <c r="B91" s="6" t="s">
        <v>179</v>
      </c>
      <c r="C91" s="7">
        <v>120.0</v>
      </c>
      <c r="D91" s="8">
        <v>55.5</v>
      </c>
      <c r="E91" s="8">
        <f t="shared" si="5"/>
        <v>111</v>
      </c>
      <c r="F91" s="4"/>
    </row>
    <row r="92" ht="12.75" customHeight="1">
      <c r="A92" s="5" t="s">
        <v>180</v>
      </c>
      <c r="B92" s="6" t="s">
        <v>181</v>
      </c>
      <c r="C92" s="7">
        <v>100.0</v>
      </c>
      <c r="D92" s="8">
        <v>55.5</v>
      </c>
      <c r="E92" s="8">
        <f t="shared" si="5"/>
        <v>111</v>
      </c>
      <c r="F92" s="4"/>
    </row>
    <row r="93" ht="12.75" customHeight="1">
      <c r="A93" s="5" t="s">
        <v>182</v>
      </c>
      <c r="B93" s="6" t="s">
        <v>183</v>
      </c>
      <c r="C93" s="7">
        <v>100.0</v>
      </c>
      <c r="D93" s="8">
        <v>55.5</v>
      </c>
      <c r="E93" s="8">
        <f t="shared" si="5"/>
        <v>111</v>
      </c>
      <c r="F93" s="4"/>
    </row>
    <row r="94" ht="12.75" customHeight="1">
      <c r="A94" s="5" t="s">
        <v>184</v>
      </c>
      <c r="B94" s="6" t="s">
        <v>185</v>
      </c>
      <c r="C94" s="7">
        <v>125.0</v>
      </c>
      <c r="D94" s="8">
        <v>55.5</v>
      </c>
      <c r="E94" s="8">
        <f t="shared" si="5"/>
        <v>111</v>
      </c>
      <c r="F94" s="4"/>
    </row>
    <row r="95" ht="12.75" customHeight="1">
      <c r="A95" s="5" t="s">
        <v>186</v>
      </c>
      <c r="B95" s="6" t="s">
        <v>187</v>
      </c>
      <c r="C95" s="7">
        <v>120.0</v>
      </c>
      <c r="D95" s="8">
        <v>55.5</v>
      </c>
      <c r="E95" s="8">
        <f t="shared" si="5"/>
        <v>111</v>
      </c>
      <c r="F95" s="4"/>
    </row>
    <row r="96" ht="12.75" customHeight="1">
      <c r="A96" s="5" t="s">
        <v>188</v>
      </c>
      <c r="B96" s="6" t="s">
        <v>189</v>
      </c>
      <c r="C96" s="7">
        <v>100.0</v>
      </c>
      <c r="D96" s="8">
        <v>55.5</v>
      </c>
      <c r="E96" s="8">
        <f t="shared" si="5"/>
        <v>111</v>
      </c>
      <c r="F96" s="4"/>
    </row>
    <row r="97" ht="12.75" customHeight="1">
      <c r="A97" s="5" t="s">
        <v>190</v>
      </c>
      <c r="B97" s="6" t="s">
        <v>191</v>
      </c>
      <c r="C97" s="7">
        <v>100.0</v>
      </c>
      <c r="D97" s="8">
        <v>55.5</v>
      </c>
      <c r="E97" s="8">
        <f t="shared" si="5"/>
        <v>111</v>
      </c>
      <c r="F97" s="4"/>
    </row>
    <row r="98" ht="12.75" customHeight="1">
      <c r="A98" s="5" t="s">
        <v>192</v>
      </c>
      <c r="B98" s="6" t="s">
        <v>193</v>
      </c>
      <c r="C98" s="7">
        <v>90.0</v>
      </c>
      <c r="D98" s="8">
        <v>65.0</v>
      </c>
      <c r="E98" s="8">
        <f t="shared" si="5"/>
        <v>130</v>
      </c>
      <c r="F98" s="4"/>
    </row>
    <row r="99" ht="12.75" customHeight="1">
      <c r="A99" s="5" t="s">
        <v>194</v>
      </c>
      <c r="B99" s="6" t="s">
        <v>195</v>
      </c>
      <c r="C99" s="7">
        <v>100.0</v>
      </c>
      <c r="D99" s="8">
        <v>97.0</v>
      </c>
      <c r="E99" s="8">
        <f t="shared" si="5"/>
        <v>194</v>
      </c>
      <c r="F99" s="4"/>
    </row>
    <row r="100" ht="12.75" customHeight="1">
      <c r="A100" s="5" t="s">
        <v>196</v>
      </c>
      <c r="B100" s="6" t="s">
        <v>197</v>
      </c>
      <c r="C100" s="7">
        <v>64.0</v>
      </c>
      <c r="D100" s="8">
        <v>92.0</v>
      </c>
      <c r="E100" s="8">
        <f t="shared" si="5"/>
        <v>184</v>
      </c>
      <c r="F100" s="4"/>
    </row>
    <row r="101" ht="12.75" customHeight="1">
      <c r="A101" s="5" t="s">
        <v>198</v>
      </c>
      <c r="B101" s="6" t="s">
        <v>199</v>
      </c>
      <c r="C101" s="7">
        <v>200.0</v>
      </c>
      <c r="D101" s="8">
        <v>55.5</v>
      </c>
      <c r="E101" s="8">
        <f t="shared" si="5"/>
        <v>111</v>
      </c>
      <c r="F101" s="4"/>
    </row>
    <row r="102" ht="12.75" customHeight="1">
      <c r="A102" s="5" t="s">
        <v>200</v>
      </c>
      <c r="B102" s="6" t="s">
        <v>201</v>
      </c>
      <c r="C102" s="7">
        <v>125.0</v>
      </c>
      <c r="D102" s="8">
        <v>103.5</v>
      </c>
      <c r="E102" s="8">
        <f t="shared" si="5"/>
        <v>207</v>
      </c>
      <c r="F102" s="4"/>
    </row>
    <row r="103" ht="12.75" customHeight="1">
      <c r="A103" s="5" t="s">
        <v>202</v>
      </c>
      <c r="B103" s="6" t="s">
        <v>203</v>
      </c>
      <c r="C103" s="7">
        <v>150.0</v>
      </c>
      <c r="D103" s="8">
        <v>55.5</v>
      </c>
      <c r="E103" s="8">
        <f t="shared" si="5"/>
        <v>111</v>
      </c>
      <c r="F103" s="4"/>
    </row>
    <row r="104" ht="12.75" customHeight="1">
      <c r="A104" s="5" t="s">
        <v>204</v>
      </c>
      <c r="B104" s="6" t="s">
        <v>205</v>
      </c>
      <c r="C104" s="7">
        <v>150.0</v>
      </c>
      <c r="D104" s="8">
        <v>55.5</v>
      </c>
      <c r="E104" s="8">
        <f t="shared" si="5"/>
        <v>111</v>
      </c>
      <c r="F104" s="4"/>
    </row>
    <row r="105" ht="12.75" customHeight="1">
      <c r="A105" s="5" t="s">
        <v>206</v>
      </c>
      <c r="B105" s="6" t="s">
        <v>207</v>
      </c>
      <c r="C105" s="7">
        <v>56.0</v>
      </c>
      <c r="D105" s="8">
        <v>116.5</v>
      </c>
      <c r="E105" s="8">
        <f t="shared" si="5"/>
        <v>233</v>
      </c>
      <c r="F105" s="4"/>
    </row>
    <row r="106" ht="12.75" customHeight="1">
      <c r="A106" s="5" t="s">
        <v>208</v>
      </c>
      <c r="B106" s="6" t="s">
        <v>209</v>
      </c>
      <c r="C106" s="7">
        <v>165.0</v>
      </c>
      <c r="D106" s="8">
        <v>91.0</v>
      </c>
      <c r="E106" s="8">
        <f t="shared" si="5"/>
        <v>182</v>
      </c>
      <c r="F106" s="4"/>
    </row>
    <row r="107" ht="12.75" customHeight="1">
      <c r="A107" s="5" t="s">
        <v>210</v>
      </c>
      <c r="B107" s="6" t="s">
        <v>211</v>
      </c>
      <c r="C107" s="7">
        <v>125.0</v>
      </c>
      <c r="D107" s="8">
        <v>116.0</v>
      </c>
      <c r="E107" s="8">
        <f t="shared" si="5"/>
        <v>232</v>
      </c>
      <c r="F107" s="4"/>
    </row>
    <row r="108" ht="12.75" customHeight="1">
      <c r="A108" s="5" t="s">
        <v>212</v>
      </c>
      <c r="B108" s="6" t="s">
        <v>213</v>
      </c>
      <c r="C108" s="7">
        <v>64.0</v>
      </c>
      <c r="D108" s="8">
        <v>108.0</v>
      </c>
      <c r="E108" s="8">
        <f t="shared" si="5"/>
        <v>216</v>
      </c>
      <c r="F108" s="4"/>
    </row>
    <row r="109" ht="12.75" customHeight="1">
      <c r="A109" s="5" t="s">
        <v>214</v>
      </c>
      <c r="B109" s="6" t="s">
        <v>215</v>
      </c>
      <c r="C109" s="7">
        <v>72.0</v>
      </c>
      <c r="D109" s="8">
        <v>108.0</v>
      </c>
      <c r="E109" s="8">
        <f t="shared" si="5"/>
        <v>216</v>
      </c>
      <c r="F109" s="4"/>
    </row>
    <row r="110" ht="12.75" customHeight="1">
      <c r="A110" s="5" t="s">
        <v>216</v>
      </c>
      <c r="B110" s="6" t="s">
        <v>217</v>
      </c>
      <c r="C110" s="7">
        <v>100.0</v>
      </c>
      <c r="D110" s="8">
        <v>108.0</v>
      </c>
      <c r="E110" s="8">
        <f t="shared" si="5"/>
        <v>216</v>
      </c>
      <c r="F110" s="4"/>
    </row>
    <row r="111" ht="12.75" customHeight="1">
      <c r="A111" s="5" t="s">
        <v>218</v>
      </c>
      <c r="B111" s="6" t="s">
        <v>219</v>
      </c>
      <c r="C111" s="7">
        <v>125.0</v>
      </c>
      <c r="D111" s="8">
        <v>89.0</v>
      </c>
      <c r="E111" s="8">
        <f t="shared" si="5"/>
        <v>178</v>
      </c>
      <c r="F111" s="4"/>
    </row>
    <row r="112" ht="12.75" customHeight="1">
      <c r="A112" s="5" t="s">
        <v>220</v>
      </c>
      <c r="B112" s="6" t="s">
        <v>221</v>
      </c>
      <c r="C112" s="7">
        <v>84.0</v>
      </c>
      <c r="D112" s="8">
        <v>108.0</v>
      </c>
      <c r="E112" s="8">
        <f t="shared" si="5"/>
        <v>216</v>
      </c>
      <c r="F112" s="4"/>
    </row>
    <row r="113" ht="12.75" customHeight="1">
      <c r="A113" s="19" t="s">
        <v>222</v>
      </c>
      <c r="B113" s="20" t="s">
        <v>223</v>
      </c>
      <c r="C113" s="21">
        <v>125.0</v>
      </c>
      <c r="D113" s="10">
        <v>108.0</v>
      </c>
      <c r="E113" s="10">
        <f t="shared" si="5"/>
        <v>216</v>
      </c>
      <c r="F113" s="4"/>
    </row>
    <row r="114" ht="12.75" customHeight="1">
      <c r="A114" s="5" t="s">
        <v>224</v>
      </c>
      <c r="B114" s="6" t="s">
        <v>225</v>
      </c>
      <c r="C114" s="7">
        <v>84.0</v>
      </c>
      <c r="D114" s="8">
        <v>116.0</v>
      </c>
      <c r="E114" s="8">
        <f t="shared" si="5"/>
        <v>232</v>
      </c>
      <c r="F114" s="4"/>
    </row>
    <row r="115" ht="12.75" customHeight="1">
      <c r="A115" s="5" t="s">
        <v>226</v>
      </c>
      <c r="B115" s="6" t="s">
        <v>227</v>
      </c>
      <c r="C115" s="7">
        <v>100.0</v>
      </c>
      <c r="D115" s="8">
        <v>95.0</v>
      </c>
      <c r="E115" s="10">
        <f t="shared" si="5"/>
        <v>190</v>
      </c>
      <c r="F115" s="4"/>
    </row>
    <row r="116" ht="12.75" customHeight="1">
      <c r="A116" s="5" t="s">
        <v>228</v>
      </c>
      <c r="B116" s="6" t="s">
        <v>229</v>
      </c>
      <c r="C116" s="7">
        <v>120.0</v>
      </c>
      <c r="D116" s="8">
        <v>75.0</v>
      </c>
      <c r="E116" s="8">
        <f t="shared" si="5"/>
        <v>150</v>
      </c>
      <c r="F116" s="4"/>
    </row>
    <row r="117" ht="12.75" customHeight="1">
      <c r="A117" s="5" t="s">
        <v>230</v>
      </c>
      <c r="B117" s="6" t="s">
        <v>231</v>
      </c>
      <c r="C117" s="7">
        <v>200.0</v>
      </c>
      <c r="D117" s="8">
        <v>67.0</v>
      </c>
      <c r="E117" s="8">
        <f t="shared" si="5"/>
        <v>134</v>
      </c>
      <c r="F117" s="4"/>
    </row>
    <row r="118" ht="12.75" customHeight="1">
      <c r="A118" s="5" t="s">
        <v>232</v>
      </c>
      <c r="B118" s="6" t="s">
        <v>233</v>
      </c>
      <c r="C118" s="7">
        <v>90.0</v>
      </c>
      <c r="D118" s="8">
        <v>72.0</v>
      </c>
      <c r="E118" s="8">
        <f t="shared" si="5"/>
        <v>144</v>
      </c>
      <c r="F118" s="4"/>
    </row>
    <row r="119" ht="12.75" customHeight="1">
      <c r="A119" s="5" t="s">
        <v>234</v>
      </c>
      <c r="B119" s="6" t="s">
        <v>235</v>
      </c>
      <c r="C119" s="7">
        <v>120.0</v>
      </c>
      <c r="D119" s="8">
        <v>67.0</v>
      </c>
      <c r="E119" s="8">
        <f t="shared" si="5"/>
        <v>134</v>
      </c>
      <c r="F119" s="4"/>
    </row>
    <row r="120" ht="12.75" customHeight="1">
      <c r="A120" s="5" t="s">
        <v>236</v>
      </c>
      <c r="B120" s="6" t="s">
        <v>237</v>
      </c>
      <c r="C120" s="7">
        <v>120.0</v>
      </c>
      <c r="D120" s="8">
        <v>72.0</v>
      </c>
      <c r="E120" s="8">
        <f t="shared" si="5"/>
        <v>144</v>
      </c>
      <c r="F120" s="4"/>
    </row>
    <row r="121" ht="12.75" customHeight="1">
      <c r="A121" s="5" t="s">
        <v>238</v>
      </c>
      <c r="B121" s="6" t="s">
        <v>239</v>
      </c>
      <c r="C121" s="7">
        <v>120.0</v>
      </c>
      <c r="D121" s="8">
        <v>93.0</v>
      </c>
      <c r="E121" s="8">
        <f t="shared" si="5"/>
        <v>186</v>
      </c>
      <c r="F121" s="4"/>
    </row>
    <row r="122" ht="12.75" customHeight="1">
      <c r="A122" s="5" t="s">
        <v>240</v>
      </c>
      <c r="B122" s="6" t="s">
        <v>241</v>
      </c>
      <c r="C122" s="7">
        <v>120.0</v>
      </c>
      <c r="D122" s="8">
        <v>93.0</v>
      </c>
      <c r="E122" s="8">
        <f t="shared" si="5"/>
        <v>186</v>
      </c>
      <c r="F122" s="4"/>
    </row>
    <row r="123" ht="12.75" customHeight="1">
      <c r="A123" s="5" t="s">
        <v>242</v>
      </c>
      <c r="B123" s="6" t="s">
        <v>243</v>
      </c>
      <c r="C123" s="7">
        <v>72.0</v>
      </c>
      <c r="D123" s="8">
        <v>100.0</v>
      </c>
      <c r="E123" s="8">
        <f t="shared" si="5"/>
        <v>200</v>
      </c>
      <c r="F123" s="4"/>
    </row>
    <row r="124" ht="12.75" customHeight="1">
      <c r="A124" s="5" t="s">
        <v>244</v>
      </c>
      <c r="B124" s="6" t="s">
        <v>245</v>
      </c>
      <c r="C124" s="7">
        <v>125.0</v>
      </c>
      <c r="D124" s="8">
        <v>95.0</v>
      </c>
      <c r="E124" s="8">
        <f t="shared" si="5"/>
        <v>190</v>
      </c>
      <c r="F124" s="4"/>
    </row>
    <row r="125" ht="12.75" customHeight="1">
      <c r="A125" s="19" t="s">
        <v>246</v>
      </c>
      <c r="B125" s="20" t="s">
        <v>247</v>
      </c>
      <c r="C125" s="21">
        <v>100.0</v>
      </c>
      <c r="D125" s="10">
        <v>75.0</v>
      </c>
      <c r="E125" s="10">
        <f t="shared" si="5"/>
        <v>150</v>
      </c>
      <c r="F125" s="4"/>
    </row>
    <row r="126" ht="12.75" customHeight="1">
      <c r="A126" s="19" t="s">
        <v>248</v>
      </c>
      <c r="B126" s="6" t="s">
        <v>249</v>
      </c>
      <c r="C126" s="21">
        <v>100.0</v>
      </c>
      <c r="D126" s="10">
        <v>83.0</v>
      </c>
      <c r="E126" s="10">
        <f t="shared" si="5"/>
        <v>166</v>
      </c>
      <c r="F126" s="4"/>
    </row>
    <row r="127" ht="12.75" customHeight="1">
      <c r="A127" s="19" t="s">
        <v>250</v>
      </c>
      <c r="B127" s="6" t="s">
        <v>251</v>
      </c>
      <c r="C127" s="21">
        <v>105.0</v>
      </c>
      <c r="D127" s="10">
        <v>85.0</v>
      </c>
      <c r="E127" s="10">
        <f t="shared" si="5"/>
        <v>170</v>
      </c>
      <c r="F127" s="4"/>
    </row>
    <row r="128" ht="12.75" customHeight="1">
      <c r="A128" s="19" t="s">
        <v>252</v>
      </c>
      <c r="B128" s="6" t="s">
        <v>253</v>
      </c>
      <c r="C128" s="21">
        <v>135.0</v>
      </c>
      <c r="D128" s="10">
        <v>88.0</v>
      </c>
      <c r="E128" s="10">
        <f t="shared" si="5"/>
        <v>176</v>
      </c>
      <c r="F128" s="4"/>
    </row>
    <row r="129" ht="12.75" customHeight="1">
      <c r="A129" s="19" t="s">
        <v>254</v>
      </c>
      <c r="B129" s="6" t="s">
        <v>255</v>
      </c>
      <c r="C129" s="21">
        <v>72.0</v>
      </c>
      <c r="D129" s="10">
        <v>109.0</v>
      </c>
      <c r="E129" s="10">
        <f t="shared" si="5"/>
        <v>218</v>
      </c>
      <c r="F129" s="4"/>
    </row>
    <row r="130" ht="12.75" customHeight="1">
      <c r="A130" s="19" t="s">
        <v>256</v>
      </c>
      <c r="B130" s="6" t="s">
        <v>257</v>
      </c>
      <c r="C130" s="21">
        <v>110.0</v>
      </c>
      <c r="D130" s="10">
        <v>94.0</v>
      </c>
      <c r="E130" s="10">
        <f t="shared" si="5"/>
        <v>188</v>
      </c>
      <c r="F130" s="4"/>
    </row>
    <row r="131" ht="12.75" customHeight="1">
      <c r="A131" s="5" t="s">
        <v>258</v>
      </c>
      <c r="B131" s="6" t="s">
        <v>259</v>
      </c>
      <c r="C131" s="7">
        <v>40.0</v>
      </c>
      <c r="D131" s="8">
        <v>173.0</v>
      </c>
      <c r="E131" s="8">
        <f t="shared" si="5"/>
        <v>346</v>
      </c>
      <c r="F131" s="4"/>
    </row>
    <row r="132" ht="12.75" customHeight="1">
      <c r="A132" s="19" t="s">
        <v>260</v>
      </c>
      <c r="B132" s="20" t="s">
        <v>261</v>
      </c>
      <c r="C132" s="21">
        <v>40.0</v>
      </c>
      <c r="D132" s="10">
        <v>173.0</v>
      </c>
      <c r="E132" s="10">
        <f t="shared" si="5"/>
        <v>346</v>
      </c>
      <c r="F132" s="4"/>
    </row>
    <row r="133" ht="12.75" customHeight="1">
      <c r="A133" s="19" t="s">
        <v>262</v>
      </c>
      <c r="B133" s="6" t="s">
        <v>263</v>
      </c>
      <c r="C133" s="21">
        <v>84.0</v>
      </c>
      <c r="D133" s="10">
        <v>108.0</v>
      </c>
      <c r="E133" s="10">
        <f t="shared" si="5"/>
        <v>216</v>
      </c>
      <c r="F133" s="4"/>
    </row>
    <row r="134" ht="12.75" customHeight="1">
      <c r="A134" s="5" t="s">
        <v>264</v>
      </c>
      <c r="B134" s="6" t="s">
        <v>265</v>
      </c>
      <c r="C134" s="7">
        <v>100.0</v>
      </c>
      <c r="D134" s="8">
        <v>75.0</v>
      </c>
      <c r="E134" s="10">
        <f t="shared" si="5"/>
        <v>150</v>
      </c>
      <c r="F134" s="4"/>
    </row>
    <row r="135" ht="12.75" customHeight="1">
      <c r="A135" s="5" t="s">
        <v>266</v>
      </c>
      <c r="B135" s="6" t="s">
        <v>267</v>
      </c>
      <c r="C135" s="7">
        <v>100.0</v>
      </c>
      <c r="D135" s="8">
        <v>75.0</v>
      </c>
      <c r="E135" s="10">
        <f t="shared" si="5"/>
        <v>150</v>
      </c>
      <c r="F135" s="4"/>
    </row>
    <row r="136" ht="12.75" customHeight="1">
      <c r="A136" s="5" t="s">
        <v>268</v>
      </c>
      <c r="B136" s="6" t="s">
        <v>269</v>
      </c>
      <c r="C136" s="7">
        <v>100.0</v>
      </c>
      <c r="D136" s="8">
        <v>75.0</v>
      </c>
      <c r="E136" s="10">
        <f t="shared" si="5"/>
        <v>150</v>
      </c>
      <c r="F136" s="4"/>
    </row>
    <row r="137" ht="12.75" customHeight="1">
      <c r="A137" s="5" t="s">
        <v>270</v>
      </c>
      <c r="B137" s="6" t="s">
        <v>271</v>
      </c>
      <c r="C137" s="7">
        <v>100.0</v>
      </c>
      <c r="D137" s="8">
        <v>75.0</v>
      </c>
      <c r="E137" s="10">
        <f t="shared" si="5"/>
        <v>150</v>
      </c>
      <c r="F137" s="4"/>
    </row>
    <row r="138" ht="12.75" customHeight="1">
      <c r="A138" s="5" t="s">
        <v>272</v>
      </c>
      <c r="B138" s="6" t="s">
        <v>273</v>
      </c>
      <c r="C138" s="7">
        <v>100.0</v>
      </c>
      <c r="D138" s="8">
        <v>75.0</v>
      </c>
      <c r="E138" s="10">
        <f t="shared" si="5"/>
        <v>150</v>
      </c>
      <c r="F138" s="4"/>
    </row>
    <row r="139" ht="12.75" customHeight="1">
      <c r="A139" s="5" t="s">
        <v>274</v>
      </c>
      <c r="B139" s="20" t="s">
        <v>275</v>
      </c>
      <c r="C139" s="7">
        <v>100.0</v>
      </c>
      <c r="D139" s="8">
        <v>113.0</v>
      </c>
      <c r="E139" s="10">
        <f t="shared" si="5"/>
        <v>226</v>
      </c>
      <c r="F139" s="4"/>
    </row>
    <row r="140" ht="12.75" customHeight="1">
      <c r="A140" s="5" t="s">
        <v>276</v>
      </c>
      <c r="B140" s="20" t="s">
        <v>277</v>
      </c>
      <c r="C140" s="7">
        <v>80.0</v>
      </c>
      <c r="D140" s="8">
        <v>108.0</v>
      </c>
      <c r="E140" s="10">
        <f t="shared" si="5"/>
        <v>216</v>
      </c>
      <c r="F140" s="4"/>
    </row>
    <row r="141" ht="12.75" customHeight="1">
      <c r="A141" s="5" t="s">
        <v>278</v>
      </c>
      <c r="B141" s="20" t="s">
        <v>279</v>
      </c>
      <c r="C141" s="7">
        <v>100.0</v>
      </c>
      <c r="D141" s="8">
        <v>108.0</v>
      </c>
      <c r="E141" s="10">
        <f t="shared" si="5"/>
        <v>216</v>
      </c>
      <c r="F141" s="4"/>
    </row>
    <row r="142" ht="12.75" customHeight="1">
      <c r="A142" s="5" t="s">
        <v>280</v>
      </c>
      <c r="B142" s="20" t="s">
        <v>281</v>
      </c>
      <c r="C142" s="7">
        <v>64.0</v>
      </c>
      <c r="D142" s="8">
        <v>113.0</v>
      </c>
      <c r="E142" s="10">
        <f t="shared" si="5"/>
        <v>226</v>
      </c>
      <c r="F142" s="4"/>
    </row>
    <row r="143" ht="12.75" customHeight="1">
      <c r="A143" s="5" t="s">
        <v>282</v>
      </c>
      <c r="B143" s="20" t="s">
        <v>283</v>
      </c>
      <c r="C143" s="7">
        <v>100.0</v>
      </c>
      <c r="D143" s="8">
        <v>92.0</v>
      </c>
      <c r="E143" s="10">
        <f t="shared" si="5"/>
        <v>184</v>
      </c>
      <c r="F143" s="4"/>
    </row>
    <row r="144" ht="12.75" customHeight="1">
      <c r="A144" s="5" t="s">
        <v>284</v>
      </c>
      <c r="B144" s="6" t="s">
        <v>285</v>
      </c>
      <c r="C144" s="7">
        <v>80.0</v>
      </c>
      <c r="D144" s="8">
        <v>157.0</v>
      </c>
      <c r="E144" s="10">
        <f t="shared" si="5"/>
        <v>314</v>
      </c>
      <c r="F144" s="4"/>
    </row>
    <row r="145" ht="12.75" customHeight="1">
      <c r="A145" s="5" t="s">
        <v>286</v>
      </c>
      <c r="B145" s="6" t="s">
        <v>287</v>
      </c>
      <c r="C145" s="7">
        <v>80.0</v>
      </c>
      <c r="D145" s="8">
        <v>112.5</v>
      </c>
      <c r="E145" s="10">
        <f t="shared" si="5"/>
        <v>225</v>
      </c>
      <c r="F145" s="4"/>
    </row>
    <row r="146" ht="12.75" customHeight="1">
      <c r="A146" s="5" t="s">
        <v>288</v>
      </c>
      <c r="B146" s="6" t="s">
        <v>289</v>
      </c>
      <c r="C146" s="7">
        <v>80.0</v>
      </c>
      <c r="D146" s="8">
        <v>120.0</v>
      </c>
      <c r="E146" s="10">
        <f t="shared" si="5"/>
        <v>240</v>
      </c>
      <c r="F146" s="4"/>
    </row>
    <row r="147" ht="12.75" customHeight="1">
      <c r="A147" s="5" t="s">
        <v>290</v>
      </c>
      <c r="B147" s="6" t="s">
        <v>291</v>
      </c>
      <c r="C147" s="7">
        <v>84.0</v>
      </c>
      <c r="D147" s="8">
        <v>139.0</v>
      </c>
      <c r="E147" s="10">
        <f t="shared" si="5"/>
        <v>278</v>
      </c>
      <c r="F147" s="4"/>
    </row>
    <row r="148" ht="12.75" customHeight="1">
      <c r="A148" s="5" t="s">
        <v>292</v>
      </c>
      <c r="B148" s="6" t="s">
        <v>293</v>
      </c>
      <c r="C148" s="7">
        <v>80.0</v>
      </c>
      <c r="D148" s="8">
        <v>146.5</v>
      </c>
      <c r="E148" s="10">
        <f t="shared" si="5"/>
        <v>293</v>
      </c>
      <c r="F148" s="4"/>
    </row>
    <row r="149" ht="12.75" customHeight="1">
      <c r="A149" s="5" t="s">
        <v>294</v>
      </c>
      <c r="B149" s="6" t="s">
        <v>295</v>
      </c>
      <c r="C149" s="7">
        <v>80.0</v>
      </c>
      <c r="D149" s="8">
        <v>158.0</v>
      </c>
      <c r="E149" s="10">
        <f t="shared" si="5"/>
        <v>316</v>
      </c>
      <c r="F149" s="4"/>
    </row>
    <row r="150" ht="13.5" customHeight="1">
      <c r="A150" s="5" t="s">
        <v>296</v>
      </c>
      <c r="B150" s="6" t="s">
        <v>297</v>
      </c>
      <c r="C150" s="7">
        <v>60.0</v>
      </c>
      <c r="D150" s="8">
        <v>166.0</v>
      </c>
      <c r="E150" s="10">
        <f t="shared" si="5"/>
        <v>332</v>
      </c>
      <c r="F150" s="4"/>
    </row>
    <row r="151" ht="12.75" customHeight="1">
      <c r="A151" s="5" t="s">
        <v>298</v>
      </c>
      <c r="B151" s="6" t="s">
        <v>299</v>
      </c>
      <c r="C151" s="7">
        <v>80.0</v>
      </c>
      <c r="D151" s="8">
        <v>148.5</v>
      </c>
      <c r="E151" s="10">
        <f t="shared" si="5"/>
        <v>297</v>
      </c>
      <c r="F151" s="4"/>
      <c r="G151" s="22"/>
      <c r="H151" s="22"/>
    </row>
    <row r="152" ht="12.75" customHeight="1">
      <c r="A152" s="5" t="s">
        <v>300</v>
      </c>
      <c r="B152" s="6" t="s">
        <v>301</v>
      </c>
      <c r="C152" s="7">
        <v>84.0</v>
      </c>
      <c r="D152" s="8">
        <v>130.0</v>
      </c>
      <c r="E152" s="10">
        <f t="shared" si="5"/>
        <v>260</v>
      </c>
      <c r="F152" s="4"/>
      <c r="G152" s="22"/>
      <c r="H152" s="22"/>
    </row>
    <row r="153" ht="12.75" customHeight="1">
      <c r="A153" s="5" t="s">
        <v>302</v>
      </c>
      <c r="B153" s="6" t="s">
        <v>303</v>
      </c>
      <c r="C153" s="7">
        <v>105.0</v>
      </c>
      <c r="D153" s="8">
        <v>126.0</v>
      </c>
      <c r="E153" s="10">
        <f t="shared" si="5"/>
        <v>252</v>
      </c>
      <c r="F153" s="4"/>
      <c r="G153" s="22"/>
      <c r="H153" s="22"/>
    </row>
    <row r="154" ht="12.75" customHeight="1">
      <c r="A154" s="5" t="s">
        <v>304</v>
      </c>
      <c r="B154" s="6" t="s">
        <v>305</v>
      </c>
      <c r="C154" s="7">
        <v>50.0</v>
      </c>
      <c r="D154" s="8">
        <v>68.0</v>
      </c>
      <c r="E154" s="10">
        <f t="shared" si="5"/>
        <v>136</v>
      </c>
      <c r="F154" s="23"/>
      <c r="G154" s="22"/>
      <c r="H154" s="22"/>
    </row>
    <row r="155" ht="12.75" customHeight="1">
      <c r="A155" s="5" t="s">
        <v>306</v>
      </c>
      <c r="B155" s="6" t="s">
        <v>307</v>
      </c>
      <c r="C155" s="7">
        <v>40.0</v>
      </c>
      <c r="D155" s="8">
        <v>100.0</v>
      </c>
      <c r="E155" s="10">
        <f t="shared" si="5"/>
        <v>200</v>
      </c>
      <c r="F155" s="4"/>
    </row>
    <row r="156" ht="12.75" customHeight="1">
      <c r="A156" s="5" t="s">
        <v>308</v>
      </c>
      <c r="B156" s="6" t="s">
        <v>309</v>
      </c>
      <c r="C156" s="7">
        <v>25.0</v>
      </c>
      <c r="D156" s="8">
        <v>168.0</v>
      </c>
      <c r="E156" s="10">
        <f t="shared" si="5"/>
        <v>336</v>
      </c>
      <c r="F156" s="4"/>
    </row>
    <row r="157" ht="12.75" customHeight="1">
      <c r="A157" s="5" t="s">
        <v>310</v>
      </c>
      <c r="B157" s="6" t="s">
        <v>311</v>
      </c>
      <c r="C157" s="7">
        <v>25.0</v>
      </c>
      <c r="D157" s="8">
        <v>168.0</v>
      </c>
      <c r="E157" s="10">
        <f t="shared" si="5"/>
        <v>336</v>
      </c>
      <c r="F157" s="4"/>
    </row>
    <row r="158" ht="12.75" customHeight="1">
      <c r="A158" s="5" t="s">
        <v>312</v>
      </c>
      <c r="B158" s="6" t="s">
        <v>313</v>
      </c>
      <c r="C158" s="7">
        <v>40.0</v>
      </c>
      <c r="D158" s="8">
        <v>116.0</v>
      </c>
      <c r="E158" s="10">
        <f t="shared" si="5"/>
        <v>232</v>
      </c>
      <c r="F158" s="4"/>
    </row>
    <row r="159" ht="12.75" customHeight="1">
      <c r="A159" s="5" t="s">
        <v>314</v>
      </c>
      <c r="B159" s="6" t="s">
        <v>315</v>
      </c>
      <c r="C159" s="7">
        <v>50.0</v>
      </c>
      <c r="D159" s="8">
        <v>95.0</v>
      </c>
      <c r="E159" s="10">
        <f t="shared" si="5"/>
        <v>190</v>
      </c>
      <c r="F159" s="4"/>
    </row>
    <row r="160" ht="12.75" customHeight="1">
      <c r="A160" s="5" t="s">
        <v>316</v>
      </c>
      <c r="B160" s="6" t="s">
        <v>317</v>
      </c>
      <c r="C160" s="7">
        <v>40.0</v>
      </c>
      <c r="D160" s="8">
        <v>95.0</v>
      </c>
      <c r="E160" s="10">
        <f t="shared" si="5"/>
        <v>190</v>
      </c>
      <c r="F160" s="4"/>
    </row>
    <row r="161" ht="12.75" customHeight="1">
      <c r="A161" s="5" t="s">
        <v>318</v>
      </c>
      <c r="B161" s="6" t="s">
        <v>319</v>
      </c>
      <c r="C161" s="7">
        <v>150.0</v>
      </c>
      <c r="D161" s="8">
        <v>82.0</v>
      </c>
      <c r="E161" s="10">
        <f t="shared" si="5"/>
        <v>164</v>
      </c>
      <c r="F161" s="4"/>
    </row>
    <row r="162" ht="12.75" customHeight="1">
      <c r="A162" s="5" t="s">
        <v>320</v>
      </c>
      <c r="B162" s="6" t="s">
        <v>321</v>
      </c>
      <c r="C162" s="7">
        <v>150.0</v>
      </c>
      <c r="D162" s="8">
        <v>115.0</v>
      </c>
      <c r="E162" s="10">
        <f t="shared" si="5"/>
        <v>230</v>
      </c>
      <c r="F162" s="4"/>
    </row>
    <row r="163" ht="12.75" customHeight="1">
      <c r="A163" s="5" t="s">
        <v>322</v>
      </c>
      <c r="B163" s="6" t="s">
        <v>323</v>
      </c>
      <c r="C163" s="7">
        <v>216.0</v>
      </c>
      <c r="D163" s="8">
        <v>14.0</v>
      </c>
      <c r="E163" s="8">
        <f t="shared" si="5"/>
        <v>28</v>
      </c>
      <c r="F163" s="4"/>
    </row>
    <row r="164" ht="12.75" customHeight="1">
      <c r="A164" s="5" t="s">
        <v>324</v>
      </c>
      <c r="B164" s="6" t="s">
        <v>325</v>
      </c>
      <c r="C164" s="7">
        <v>168.0</v>
      </c>
      <c r="D164" s="8">
        <v>15.0</v>
      </c>
      <c r="E164" s="8">
        <f t="shared" si="5"/>
        <v>30</v>
      </c>
      <c r="F164" s="4"/>
    </row>
    <row r="165" ht="12.75" customHeight="1">
      <c r="A165" s="5" t="s">
        <v>326</v>
      </c>
      <c r="B165" s="6" t="s">
        <v>327</v>
      </c>
      <c r="C165" s="7">
        <v>300.0</v>
      </c>
      <c r="D165" s="8">
        <v>8.0</v>
      </c>
      <c r="E165" s="8">
        <f t="shared" si="5"/>
        <v>16</v>
      </c>
      <c r="F165" s="4"/>
    </row>
    <row r="166" ht="12.75" customHeight="1">
      <c r="A166" s="5" t="s">
        <v>328</v>
      </c>
      <c r="B166" s="6" t="s">
        <v>329</v>
      </c>
      <c r="C166" s="7">
        <v>126.0</v>
      </c>
      <c r="D166" s="8">
        <v>18.0</v>
      </c>
      <c r="E166" s="8">
        <f t="shared" si="5"/>
        <v>36</v>
      </c>
      <c r="F166" s="4"/>
    </row>
    <row r="167" ht="12.75" customHeight="1">
      <c r="A167" s="5" t="s">
        <v>330</v>
      </c>
      <c r="B167" s="6" t="s">
        <v>331</v>
      </c>
      <c r="C167" s="7">
        <v>250.0</v>
      </c>
      <c r="D167" s="8">
        <v>10.5</v>
      </c>
      <c r="E167" s="8">
        <f t="shared" si="5"/>
        <v>21</v>
      </c>
      <c r="F167" s="4"/>
    </row>
    <row r="168" ht="12.75" customHeight="1">
      <c r="A168" s="5" t="s">
        <v>332</v>
      </c>
      <c r="B168" s="6" t="s">
        <v>333</v>
      </c>
      <c r="C168" s="7">
        <v>252.0</v>
      </c>
      <c r="D168" s="8">
        <v>10.5</v>
      </c>
      <c r="E168" s="8">
        <f t="shared" si="5"/>
        <v>21</v>
      </c>
      <c r="F168" s="4"/>
    </row>
    <row r="169" ht="12.75" customHeight="1">
      <c r="A169" s="5" t="s">
        <v>334</v>
      </c>
      <c r="B169" s="6" t="s">
        <v>335</v>
      </c>
      <c r="C169" s="7">
        <v>250.0</v>
      </c>
      <c r="D169" s="8">
        <v>10.5</v>
      </c>
      <c r="E169" s="8">
        <f t="shared" si="5"/>
        <v>21</v>
      </c>
      <c r="F169" s="4"/>
    </row>
    <row r="170" ht="12.75" customHeight="1">
      <c r="A170" s="5" t="s">
        <v>336</v>
      </c>
      <c r="B170" s="6" t="s">
        <v>337</v>
      </c>
      <c r="C170" s="7">
        <v>300.0</v>
      </c>
      <c r="D170" s="8">
        <v>9.5</v>
      </c>
      <c r="E170" s="8">
        <f t="shared" si="5"/>
        <v>19</v>
      </c>
      <c r="F170" s="4"/>
    </row>
    <row r="171" ht="12.75" customHeight="1">
      <c r="A171" s="5" t="s">
        <v>338</v>
      </c>
      <c r="B171" s="6" t="s">
        <v>339</v>
      </c>
      <c r="C171" s="7">
        <v>126.0</v>
      </c>
      <c r="D171" s="8">
        <v>21.0</v>
      </c>
      <c r="E171" s="8">
        <f t="shared" si="5"/>
        <v>42</v>
      </c>
      <c r="F171" s="4"/>
    </row>
    <row r="172" ht="12.75" customHeight="1">
      <c r="A172" s="5" t="s">
        <v>340</v>
      </c>
      <c r="B172" s="6" t="s">
        <v>341</v>
      </c>
      <c r="C172" s="7">
        <v>108.0</v>
      </c>
      <c r="D172" s="8">
        <v>21.0</v>
      </c>
      <c r="E172" s="8">
        <f t="shared" si="5"/>
        <v>42</v>
      </c>
      <c r="F172" s="4"/>
    </row>
    <row r="173" ht="12.75" customHeight="1">
      <c r="A173" s="5" t="s">
        <v>342</v>
      </c>
      <c r="B173" s="6" t="s">
        <v>343</v>
      </c>
      <c r="C173" s="7">
        <v>150.0</v>
      </c>
      <c r="D173" s="8">
        <v>21.0</v>
      </c>
      <c r="E173" s="8">
        <f t="shared" si="5"/>
        <v>42</v>
      </c>
      <c r="F173" s="4"/>
    </row>
    <row r="174" ht="12.75" customHeight="1">
      <c r="A174" s="5" t="s">
        <v>344</v>
      </c>
      <c r="B174" s="6" t="s">
        <v>345</v>
      </c>
      <c r="C174" s="7">
        <v>150.0</v>
      </c>
      <c r="D174" s="8">
        <v>17.0</v>
      </c>
      <c r="E174" s="8">
        <f t="shared" si="5"/>
        <v>34</v>
      </c>
      <c r="F174" s="4"/>
    </row>
    <row r="175" ht="12.75" customHeight="1">
      <c r="A175" s="5" t="s">
        <v>346</v>
      </c>
      <c r="B175" s="6" t="s">
        <v>347</v>
      </c>
      <c r="C175" s="7">
        <v>216.0</v>
      </c>
      <c r="D175" s="8">
        <v>10.0</v>
      </c>
      <c r="E175" s="8">
        <f t="shared" si="5"/>
        <v>20</v>
      </c>
      <c r="F175" s="4"/>
    </row>
    <row r="176" ht="12.75" customHeight="1">
      <c r="A176" s="5" t="s">
        <v>348</v>
      </c>
      <c r="B176" s="6" t="s">
        <v>349</v>
      </c>
      <c r="C176" s="7">
        <v>150.0</v>
      </c>
      <c r="D176" s="8">
        <v>19.0</v>
      </c>
      <c r="E176" s="8">
        <f t="shared" si="5"/>
        <v>38</v>
      </c>
      <c r="F176" s="4"/>
    </row>
    <row r="177" ht="12.75" customHeight="1">
      <c r="A177" s="5" t="s">
        <v>350</v>
      </c>
      <c r="B177" s="6" t="s">
        <v>351</v>
      </c>
      <c r="C177" s="7">
        <v>126.0</v>
      </c>
      <c r="D177" s="8">
        <v>21.0</v>
      </c>
      <c r="E177" s="8">
        <f t="shared" si="5"/>
        <v>42</v>
      </c>
      <c r="F177" s="4"/>
    </row>
    <row r="178" ht="12.75" customHeight="1">
      <c r="A178" s="5" t="s">
        <v>352</v>
      </c>
      <c r="B178" s="6" t="s">
        <v>353</v>
      </c>
      <c r="C178" s="7">
        <v>100.0</v>
      </c>
      <c r="D178" s="8">
        <v>22.0</v>
      </c>
      <c r="E178" s="8">
        <f t="shared" si="5"/>
        <v>44</v>
      </c>
      <c r="F178" s="4"/>
    </row>
    <row r="179" ht="12.75" customHeight="1">
      <c r="A179" s="5" t="s">
        <v>354</v>
      </c>
      <c r="B179" s="6" t="s">
        <v>355</v>
      </c>
      <c r="C179" s="7">
        <v>220.0</v>
      </c>
      <c r="D179" s="8">
        <v>15.0</v>
      </c>
      <c r="E179" s="8">
        <f t="shared" si="5"/>
        <v>30</v>
      </c>
      <c r="F179" s="4"/>
    </row>
    <row r="180" ht="12.75" customHeight="1">
      <c r="A180" s="5" t="s">
        <v>356</v>
      </c>
      <c r="B180" s="6" t="s">
        <v>357</v>
      </c>
      <c r="C180" s="7">
        <v>300.0</v>
      </c>
      <c r="D180" s="8">
        <v>7.5</v>
      </c>
      <c r="E180" s="8">
        <f t="shared" si="5"/>
        <v>15</v>
      </c>
      <c r="F180" s="4"/>
    </row>
    <row r="181" ht="12.75" customHeight="1">
      <c r="A181" s="5" t="s">
        <v>358</v>
      </c>
      <c r="B181" s="6" t="s">
        <v>359</v>
      </c>
      <c r="C181" s="7">
        <v>300.0</v>
      </c>
      <c r="D181" s="8">
        <v>7.5</v>
      </c>
      <c r="E181" s="8">
        <f t="shared" si="5"/>
        <v>15</v>
      </c>
      <c r="F181" s="4"/>
    </row>
    <row r="182" ht="12.75" customHeight="1">
      <c r="A182" s="5" t="s">
        <v>360</v>
      </c>
      <c r="B182" s="6" t="s">
        <v>361</v>
      </c>
      <c r="C182" s="7">
        <v>300.0</v>
      </c>
      <c r="D182" s="8">
        <v>8.5</v>
      </c>
      <c r="E182" s="8">
        <f t="shared" si="5"/>
        <v>17</v>
      </c>
      <c r="F182" s="4"/>
    </row>
    <row r="183" ht="12.75" customHeight="1">
      <c r="A183" s="5" t="s">
        <v>362</v>
      </c>
      <c r="B183" s="6" t="s">
        <v>363</v>
      </c>
      <c r="C183" s="7">
        <v>300.0</v>
      </c>
      <c r="D183" s="8">
        <v>8.5</v>
      </c>
      <c r="E183" s="8">
        <f t="shared" si="5"/>
        <v>17</v>
      </c>
      <c r="F183" s="4"/>
    </row>
    <row r="184" ht="12.75" customHeight="1">
      <c r="A184" s="5" t="s">
        <v>364</v>
      </c>
      <c r="B184" s="6" t="s">
        <v>365</v>
      </c>
      <c r="C184" s="7">
        <v>125.0</v>
      </c>
      <c r="D184" s="8">
        <v>21.0</v>
      </c>
      <c r="E184" s="8">
        <f t="shared" si="5"/>
        <v>42</v>
      </c>
      <c r="F184" s="4"/>
    </row>
    <row r="185" ht="12.75" customHeight="1">
      <c r="A185" s="5" t="s">
        <v>366</v>
      </c>
      <c r="B185" s="6" t="s">
        <v>367</v>
      </c>
      <c r="C185" s="7">
        <v>150.0</v>
      </c>
      <c r="D185" s="8">
        <v>19.0</v>
      </c>
      <c r="E185" s="8">
        <f t="shared" si="5"/>
        <v>38</v>
      </c>
      <c r="F185" s="4"/>
    </row>
    <row r="186" ht="13.5" customHeight="1">
      <c r="A186" s="5" t="s">
        <v>368</v>
      </c>
      <c r="B186" s="6" t="s">
        <v>369</v>
      </c>
      <c r="C186" s="7">
        <v>250.0</v>
      </c>
      <c r="D186" s="8">
        <v>8.5</v>
      </c>
      <c r="E186" s="8">
        <f t="shared" si="5"/>
        <v>17</v>
      </c>
      <c r="F186" s="4"/>
    </row>
    <row r="187" ht="12.75" customHeight="1">
      <c r="A187" s="5" t="s">
        <v>370</v>
      </c>
      <c r="B187" s="6" t="s">
        <v>371</v>
      </c>
      <c r="C187" s="7">
        <v>150.0</v>
      </c>
      <c r="D187" s="8">
        <v>21.0</v>
      </c>
      <c r="E187" s="8">
        <f t="shared" si="5"/>
        <v>42</v>
      </c>
      <c r="F187" s="4"/>
    </row>
    <row r="188" ht="12.75" customHeight="1">
      <c r="A188" s="5" t="s">
        <v>372</v>
      </c>
      <c r="B188" s="6" t="s">
        <v>373</v>
      </c>
      <c r="C188" s="7">
        <v>150.0</v>
      </c>
      <c r="D188" s="8">
        <v>21.0</v>
      </c>
      <c r="E188" s="8">
        <f t="shared" si="5"/>
        <v>42</v>
      </c>
      <c r="F188" s="4"/>
    </row>
    <row r="189" ht="12.75" customHeight="1">
      <c r="A189" s="5" t="s">
        <v>374</v>
      </c>
      <c r="B189" s="6" t="s">
        <v>375</v>
      </c>
      <c r="C189" s="7">
        <v>192.0</v>
      </c>
      <c r="D189" s="8">
        <v>17.0</v>
      </c>
      <c r="E189" s="8">
        <f t="shared" si="5"/>
        <v>34</v>
      </c>
      <c r="F189" s="4"/>
    </row>
    <row r="190" ht="12.75" customHeight="1">
      <c r="A190" s="5" t="s">
        <v>376</v>
      </c>
      <c r="B190" s="6" t="s">
        <v>377</v>
      </c>
      <c r="C190" s="7">
        <v>192.0</v>
      </c>
      <c r="D190" s="8">
        <v>17.0</v>
      </c>
      <c r="E190" s="8">
        <f t="shared" si="5"/>
        <v>34</v>
      </c>
      <c r="F190" s="4"/>
    </row>
    <row r="191" ht="12.75" customHeight="1">
      <c r="A191" s="5" t="s">
        <v>378</v>
      </c>
      <c r="B191" s="6" t="s">
        <v>379</v>
      </c>
      <c r="C191" s="7">
        <v>192.0</v>
      </c>
      <c r="D191" s="8">
        <v>16.0</v>
      </c>
      <c r="E191" s="8">
        <f t="shared" si="5"/>
        <v>32</v>
      </c>
      <c r="F191" s="4"/>
    </row>
    <row r="192" ht="12.75" customHeight="1">
      <c r="A192" s="5" t="s">
        <v>380</v>
      </c>
      <c r="B192" s="6" t="s">
        <v>381</v>
      </c>
      <c r="C192" s="7">
        <v>70.0</v>
      </c>
      <c r="D192" s="8">
        <v>56.0</v>
      </c>
      <c r="E192" s="8">
        <f t="shared" si="5"/>
        <v>112</v>
      </c>
      <c r="F192" s="4"/>
    </row>
    <row r="193" ht="12.75" customHeight="1">
      <c r="A193" s="5" t="s">
        <v>382</v>
      </c>
      <c r="B193" s="6" t="s">
        <v>383</v>
      </c>
      <c r="C193" s="7">
        <v>80.0</v>
      </c>
      <c r="D193" s="8">
        <v>45.0</v>
      </c>
      <c r="E193" s="8">
        <f t="shared" si="5"/>
        <v>90</v>
      </c>
      <c r="F193" s="4"/>
    </row>
    <row r="194" ht="12.75" customHeight="1">
      <c r="A194" s="5" t="s">
        <v>384</v>
      </c>
      <c r="B194" s="6" t="s">
        <v>385</v>
      </c>
      <c r="C194" s="7">
        <v>126.0</v>
      </c>
      <c r="D194" s="8">
        <v>41.0</v>
      </c>
      <c r="E194" s="8">
        <f t="shared" si="5"/>
        <v>82</v>
      </c>
      <c r="F194" s="4"/>
    </row>
    <row r="195" ht="12.75" customHeight="1">
      <c r="A195" s="5" t="s">
        <v>386</v>
      </c>
      <c r="B195" s="6" t="s">
        <v>387</v>
      </c>
      <c r="C195" s="7">
        <v>126.0</v>
      </c>
      <c r="D195" s="8">
        <v>38.0</v>
      </c>
      <c r="E195" s="8">
        <f t="shared" si="5"/>
        <v>76</v>
      </c>
      <c r="F195" s="4"/>
    </row>
    <row r="196" ht="12.75" customHeight="1">
      <c r="A196" s="5" t="s">
        <v>388</v>
      </c>
      <c r="B196" s="6" t="s">
        <v>389</v>
      </c>
      <c r="C196" s="7">
        <v>126.0</v>
      </c>
      <c r="D196" s="8">
        <v>41.0</v>
      </c>
      <c r="E196" s="8">
        <f t="shared" si="5"/>
        <v>82</v>
      </c>
      <c r="F196" s="4"/>
    </row>
    <row r="197" ht="12.75" customHeight="1">
      <c r="A197" s="5" t="s">
        <v>390</v>
      </c>
      <c r="B197" s="6" t="s">
        <v>391</v>
      </c>
      <c r="C197" s="7">
        <v>220.0</v>
      </c>
      <c r="D197" s="8">
        <v>25.0</v>
      </c>
      <c r="E197" s="8">
        <f t="shared" si="5"/>
        <v>50</v>
      </c>
      <c r="F197" s="4"/>
    </row>
    <row r="198" ht="12.75" customHeight="1">
      <c r="A198" s="5" t="s">
        <v>392</v>
      </c>
      <c r="B198" s="6" t="s">
        <v>393</v>
      </c>
      <c r="C198" s="7">
        <v>300.0</v>
      </c>
      <c r="D198" s="8">
        <v>21.0</v>
      </c>
      <c r="E198" s="8">
        <f t="shared" si="5"/>
        <v>42</v>
      </c>
      <c r="F198" s="4"/>
    </row>
    <row r="199" ht="12.75" customHeight="1">
      <c r="A199" s="5" t="s">
        <v>394</v>
      </c>
      <c r="B199" s="6" t="s">
        <v>395</v>
      </c>
      <c r="C199" s="7">
        <v>300.0</v>
      </c>
      <c r="D199" s="8">
        <v>22.0</v>
      </c>
      <c r="E199" s="8">
        <f t="shared" si="5"/>
        <v>44</v>
      </c>
      <c r="F199" s="4"/>
    </row>
    <row r="200" ht="12.75" customHeight="1">
      <c r="A200" s="5" t="s">
        <v>396</v>
      </c>
      <c r="B200" s="6" t="s">
        <v>397</v>
      </c>
      <c r="C200" s="7">
        <v>108.0</v>
      </c>
      <c r="D200" s="8">
        <v>47.0</v>
      </c>
      <c r="E200" s="8">
        <f t="shared" si="5"/>
        <v>94</v>
      </c>
      <c r="F200" s="4"/>
    </row>
    <row r="201" ht="12.75" customHeight="1">
      <c r="A201" s="5" t="s">
        <v>398</v>
      </c>
      <c r="B201" s="6" t="s">
        <v>399</v>
      </c>
      <c r="C201" s="7">
        <v>150.0</v>
      </c>
      <c r="D201" s="8">
        <v>19.0</v>
      </c>
      <c r="E201" s="8">
        <f t="shared" si="5"/>
        <v>38</v>
      </c>
      <c r="F201" s="4"/>
    </row>
    <row r="202" ht="12.75" customHeight="1">
      <c r="A202" s="5" t="s">
        <v>400</v>
      </c>
      <c r="B202" s="6" t="s">
        <v>401</v>
      </c>
      <c r="C202" s="7">
        <v>300.0</v>
      </c>
      <c r="D202" s="8">
        <v>10.5</v>
      </c>
      <c r="E202" s="8">
        <f t="shared" si="5"/>
        <v>21</v>
      </c>
      <c r="F202" s="4"/>
    </row>
    <row r="203" ht="12.75" customHeight="1">
      <c r="A203" s="19" t="s">
        <v>402</v>
      </c>
      <c r="B203" s="6" t="s">
        <v>403</v>
      </c>
      <c r="C203" s="7">
        <v>50.0</v>
      </c>
      <c r="D203" s="8">
        <v>47.0</v>
      </c>
      <c r="E203" s="8">
        <f t="shared" si="5"/>
        <v>94</v>
      </c>
      <c r="F203" s="4"/>
    </row>
    <row r="204" ht="12.75" customHeight="1">
      <c r="A204" s="19" t="s">
        <v>404</v>
      </c>
      <c r="B204" s="20" t="s">
        <v>405</v>
      </c>
      <c r="C204" s="21">
        <v>50.0</v>
      </c>
      <c r="D204" s="10">
        <v>52.5</v>
      </c>
      <c r="E204" s="10">
        <f t="shared" si="5"/>
        <v>105</v>
      </c>
      <c r="F204" s="4"/>
    </row>
    <row r="205" ht="12.75" customHeight="1">
      <c r="A205" s="19" t="s">
        <v>406</v>
      </c>
      <c r="B205" s="6" t="s">
        <v>407</v>
      </c>
      <c r="C205" s="7">
        <v>50.0</v>
      </c>
      <c r="D205" s="8">
        <v>51.5</v>
      </c>
      <c r="E205" s="8">
        <f t="shared" si="5"/>
        <v>103</v>
      </c>
      <c r="F205" s="4"/>
    </row>
    <row r="206" ht="12.75" customHeight="1">
      <c r="A206" s="19" t="s">
        <v>408</v>
      </c>
      <c r="B206" s="6" t="s">
        <v>409</v>
      </c>
      <c r="C206" s="7">
        <v>50.0</v>
      </c>
      <c r="D206" s="8">
        <v>60.0</v>
      </c>
      <c r="E206" s="8">
        <f t="shared" si="5"/>
        <v>120</v>
      </c>
      <c r="F206" s="4"/>
    </row>
    <row r="207" ht="12.75" customHeight="1">
      <c r="A207" s="19" t="s">
        <v>410</v>
      </c>
      <c r="B207" s="6" t="s">
        <v>411</v>
      </c>
      <c r="C207" s="7">
        <v>50.0</v>
      </c>
      <c r="D207" s="8">
        <v>63.0</v>
      </c>
      <c r="E207" s="8">
        <f t="shared" si="5"/>
        <v>126</v>
      </c>
      <c r="F207" s="4"/>
    </row>
    <row r="208" ht="12.75" customHeight="1">
      <c r="A208" s="19" t="s">
        <v>412</v>
      </c>
      <c r="B208" s="6" t="s">
        <v>413</v>
      </c>
      <c r="C208" s="7">
        <v>50.0</v>
      </c>
      <c r="D208" s="8">
        <v>52.5</v>
      </c>
      <c r="E208" s="8">
        <f t="shared" si="5"/>
        <v>105</v>
      </c>
      <c r="F208" s="4"/>
    </row>
    <row r="209" ht="12.75" customHeight="1">
      <c r="A209" s="19" t="s">
        <v>414</v>
      </c>
      <c r="B209" s="6" t="s">
        <v>415</v>
      </c>
      <c r="C209" s="7">
        <v>50.0</v>
      </c>
      <c r="D209" s="8">
        <v>52.5</v>
      </c>
      <c r="E209" s="8">
        <f t="shared" si="5"/>
        <v>105</v>
      </c>
      <c r="F209" s="4"/>
    </row>
    <row r="210" ht="12.75" customHeight="1">
      <c r="A210" s="19" t="s">
        <v>416</v>
      </c>
      <c r="B210" s="6" t="s">
        <v>417</v>
      </c>
      <c r="C210" s="7">
        <v>50.0</v>
      </c>
      <c r="D210" s="8">
        <v>52.5</v>
      </c>
      <c r="E210" s="8">
        <f t="shared" si="5"/>
        <v>105</v>
      </c>
      <c r="F210" s="4"/>
    </row>
    <row r="211" ht="12.75" customHeight="1">
      <c r="A211" s="19" t="s">
        <v>418</v>
      </c>
      <c r="B211" s="6" t="s">
        <v>419</v>
      </c>
      <c r="C211" s="7">
        <v>100.0</v>
      </c>
      <c r="D211" s="8">
        <v>12.5</v>
      </c>
      <c r="E211" s="8">
        <f t="shared" si="5"/>
        <v>25</v>
      </c>
      <c r="F211" s="4"/>
    </row>
    <row r="212" ht="12.75" customHeight="1">
      <c r="A212" s="19" t="s">
        <v>420</v>
      </c>
      <c r="B212" s="6" t="s">
        <v>421</v>
      </c>
      <c r="C212" s="7">
        <v>100.0</v>
      </c>
      <c r="D212" s="8">
        <v>17.0</v>
      </c>
      <c r="E212" s="8">
        <f t="shared" si="5"/>
        <v>34</v>
      </c>
      <c r="F212" s="4"/>
    </row>
    <row r="213" ht="12.75" customHeight="1">
      <c r="A213" s="19" t="s">
        <v>422</v>
      </c>
      <c r="B213" s="6" t="s">
        <v>423</v>
      </c>
      <c r="C213" s="7">
        <v>100.0</v>
      </c>
      <c r="D213" s="8">
        <v>21.0</v>
      </c>
      <c r="E213" s="8">
        <f t="shared" si="5"/>
        <v>42</v>
      </c>
      <c r="F213" s="4"/>
    </row>
    <row r="214" ht="12.75" customHeight="1">
      <c r="A214" s="19" t="s">
        <v>424</v>
      </c>
      <c r="B214" s="6" t="s">
        <v>425</v>
      </c>
      <c r="C214" s="7">
        <v>100.0</v>
      </c>
      <c r="D214" s="8">
        <v>25.0</v>
      </c>
      <c r="E214" s="8">
        <f t="shared" si="5"/>
        <v>50</v>
      </c>
      <c r="F214" s="4"/>
    </row>
    <row r="215" ht="12.75" customHeight="1">
      <c r="A215" s="19" t="s">
        <v>426</v>
      </c>
      <c r="B215" s="6" t="s">
        <v>427</v>
      </c>
      <c r="C215" s="7">
        <v>100.0</v>
      </c>
      <c r="D215" s="8">
        <v>20.0</v>
      </c>
      <c r="E215" s="8">
        <f t="shared" si="5"/>
        <v>40</v>
      </c>
      <c r="F215" s="4"/>
    </row>
    <row r="216" ht="12.75" customHeight="1">
      <c r="A216" s="19" t="s">
        <v>428</v>
      </c>
      <c r="B216" s="6" t="s">
        <v>429</v>
      </c>
      <c r="C216" s="7">
        <v>100.0</v>
      </c>
      <c r="D216" s="8">
        <v>31.5</v>
      </c>
      <c r="E216" s="10">
        <f t="shared" si="5"/>
        <v>63</v>
      </c>
      <c r="F216" s="4"/>
    </row>
    <row r="217" ht="12.75" customHeight="1">
      <c r="A217" s="19" t="s">
        <v>430</v>
      </c>
      <c r="B217" s="6" t="s">
        <v>431</v>
      </c>
      <c r="C217" s="7">
        <v>50.0</v>
      </c>
      <c r="D217" s="8">
        <v>34.5</v>
      </c>
      <c r="E217" s="8">
        <f t="shared" si="5"/>
        <v>69</v>
      </c>
      <c r="F217" s="4"/>
    </row>
    <row r="218" ht="12.75" customHeight="1">
      <c r="A218" s="19" t="s">
        <v>432</v>
      </c>
      <c r="B218" s="6" t="s">
        <v>433</v>
      </c>
      <c r="C218" s="7">
        <v>50.0</v>
      </c>
      <c r="D218" s="8">
        <v>44.0</v>
      </c>
      <c r="E218" s="8">
        <f t="shared" si="5"/>
        <v>88</v>
      </c>
      <c r="F218" s="4"/>
    </row>
    <row r="219" ht="12.75" customHeight="1">
      <c r="A219" s="19" t="s">
        <v>434</v>
      </c>
      <c r="B219" s="6" t="s">
        <v>435</v>
      </c>
      <c r="C219" s="7">
        <v>50.0</v>
      </c>
      <c r="D219" s="8">
        <v>47.0</v>
      </c>
      <c r="E219" s="8">
        <f t="shared" si="5"/>
        <v>94</v>
      </c>
      <c r="F219" s="4"/>
    </row>
    <row r="220" ht="12.75" customHeight="1">
      <c r="A220" s="19" t="s">
        <v>436</v>
      </c>
      <c r="B220" s="6" t="s">
        <v>437</v>
      </c>
      <c r="C220" s="7">
        <v>25.0</v>
      </c>
      <c r="D220" s="8">
        <v>131.0</v>
      </c>
      <c r="E220" s="8">
        <f t="shared" si="5"/>
        <v>262</v>
      </c>
      <c r="F220" s="4"/>
    </row>
    <row r="221" ht="12.75" customHeight="1">
      <c r="A221" s="19" t="s">
        <v>438</v>
      </c>
      <c r="B221" s="6" t="s">
        <v>439</v>
      </c>
      <c r="C221" s="7">
        <v>50.0</v>
      </c>
      <c r="D221" s="8">
        <v>43.0</v>
      </c>
      <c r="E221" s="8">
        <f t="shared" si="5"/>
        <v>86</v>
      </c>
      <c r="F221" s="4"/>
    </row>
    <row r="222" ht="13.5" customHeight="1">
      <c r="A222" s="19" t="s">
        <v>440</v>
      </c>
      <c r="B222" s="6" t="s">
        <v>441</v>
      </c>
      <c r="C222" s="7">
        <v>50.0</v>
      </c>
      <c r="D222" s="8">
        <v>52.5</v>
      </c>
      <c r="E222" s="8">
        <f t="shared" si="5"/>
        <v>105</v>
      </c>
      <c r="F222" s="4"/>
    </row>
    <row r="223" ht="12.75" customHeight="1">
      <c r="A223" s="19" t="s">
        <v>442</v>
      </c>
      <c r="B223" s="6" t="s">
        <v>443</v>
      </c>
      <c r="C223" s="7">
        <v>50.0</v>
      </c>
      <c r="D223" s="8">
        <v>52.5</v>
      </c>
      <c r="E223" s="8">
        <f t="shared" si="5"/>
        <v>105</v>
      </c>
      <c r="F223" s="4"/>
    </row>
    <row r="224" ht="12.75" customHeight="1">
      <c r="A224" s="19" t="s">
        <v>444</v>
      </c>
      <c r="B224" s="6" t="s">
        <v>445</v>
      </c>
      <c r="C224" s="7">
        <v>50.0</v>
      </c>
      <c r="D224" s="8">
        <v>44.0</v>
      </c>
      <c r="E224" s="8">
        <f t="shared" si="5"/>
        <v>88</v>
      </c>
      <c r="F224" s="4"/>
    </row>
    <row r="225" ht="12.75" customHeight="1">
      <c r="A225" s="19" t="s">
        <v>446</v>
      </c>
      <c r="B225" s="6" t="s">
        <v>447</v>
      </c>
      <c r="C225" s="7">
        <v>50.0</v>
      </c>
      <c r="D225" s="8">
        <v>50.5</v>
      </c>
      <c r="E225" s="8">
        <f t="shared" si="5"/>
        <v>101</v>
      </c>
      <c r="F225" s="4"/>
    </row>
    <row r="226" ht="12.75" customHeight="1">
      <c r="A226" s="19" t="s">
        <v>448</v>
      </c>
      <c r="B226" s="6" t="s">
        <v>449</v>
      </c>
      <c r="C226" s="7">
        <v>50.0</v>
      </c>
      <c r="D226" s="8">
        <v>50.5</v>
      </c>
      <c r="E226" s="8">
        <f t="shared" si="5"/>
        <v>101</v>
      </c>
      <c r="F226" s="4"/>
    </row>
    <row r="227" ht="12.75" customHeight="1">
      <c r="A227" s="19" t="s">
        <v>450</v>
      </c>
      <c r="B227" s="6" t="s">
        <v>451</v>
      </c>
      <c r="C227" s="7">
        <v>50.0</v>
      </c>
      <c r="D227" s="8">
        <v>54.0</v>
      </c>
      <c r="E227" s="8">
        <f t="shared" si="5"/>
        <v>108</v>
      </c>
      <c r="F227" s="4"/>
    </row>
    <row r="228" ht="12.75" customHeight="1">
      <c r="A228" s="19" t="s">
        <v>452</v>
      </c>
      <c r="B228" s="6" t="s">
        <v>453</v>
      </c>
      <c r="C228" s="7">
        <v>50.0</v>
      </c>
      <c r="D228" s="8">
        <v>60.0</v>
      </c>
      <c r="E228" s="8">
        <f t="shared" si="5"/>
        <v>120</v>
      </c>
      <c r="F228" s="4"/>
    </row>
    <row r="229" ht="12.75" customHeight="1">
      <c r="A229" s="19" t="s">
        <v>454</v>
      </c>
      <c r="B229" s="6" t="s">
        <v>455</v>
      </c>
      <c r="C229" s="7">
        <v>50.0</v>
      </c>
      <c r="D229" s="8">
        <v>57.0</v>
      </c>
      <c r="E229" s="8">
        <f t="shared" si="5"/>
        <v>114</v>
      </c>
      <c r="F229" s="4"/>
    </row>
    <row r="230" ht="12.75" customHeight="1">
      <c r="A230" s="19" t="s">
        <v>456</v>
      </c>
      <c r="B230" s="6" t="s">
        <v>457</v>
      </c>
      <c r="C230" s="7">
        <v>50.0</v>
      </c>
      <c r="D230" s="8">
        <v>57.0</v>
      </c>
      <c r="E230" s="8">
        <f t="shared" si="5"/>
        <v>114</v>
      </c>
      <c r="F230" s="4"/>
    </row>
    <row r="231" ht="12.75" customHeight="1">
      <c r="A231" s="19" t="s">
        <v>458</v>
      </c>
      <c r="B231" s="6" t="s">
        <v>459</v>
      </c>
      <c r="C231" s="7">
        <v>50.0</v>
      </c>
      <c r="D231" s="8">
        <v>43.0</v>
      </c>
      <c r="E231" s="8">
        <f t="shared" si="5"/>
        <v>86</v>
      </c>
      <c r="F231" s="4"/>
    </row>
    <row r="232" ht="12.75" customHeight="1">
      <c r="A232" s="19" t="s">
        <v>460</v>
      </c>
      <c r="B232" s="6" t="s">
        <v>461</v>
      </c>
      <c r="C232" s="7">
        <v>50.0</v>
      </c>
      <c r="D232" s="8">
        <v>70.0</v>
      </c>
      <c r="E232" s="8">
        <f t="shared" si="5"/>
        <v>140</v>
      </c>
      <c r="F232" s="4"/>
    </row>
    <row r="233" ht="12.75" customHeight="1">
      <c r="A233" s="19" t="s">
        <v>462</v>
      </c>
      <c r="B233" s="20" t="s">
        <v>463</v>
      </c>
      <c r="C233" s="21">
        <v>50.0</v>
      </c>
      <c r="D233" s="10">
        <v>57.0</v>
      </c>
      <c r="E233" s="10">
        <f t="shared" si="5"/>
        <v>114</v>
      </c>
      <c r="F233" s="4"/>
    </row>
    <row r="234" ht="12.75" customHeight="1">
      <c r="A234" s="5" t="s">
        <v>464</v>
      </c>
      <c r="B234" s="6" t="s">
        <v>465</v>
      </c>
      <c r="C234" s="7">
        <v>96.0</v>
      </c>
      <c r="D234" s="8">
        <v>51.0</v>
      </c>
      <c r="E234" s="8">
        <f t="shared" si="5"/>
        <v>102</v>
      </c>
      <c r="F234" s="4"/>
    </row>
    <row r="235" ht="12.75" customHeight="1">
      <c r="A235" s="5" t="s">
        <v>466</v>
      </c>
      <c r="B235" s="6" t="s">
        <v>467</v>
      </c>
      <c r="C235" s="7">
        <v>96.0</v>
      </c>
      <c r="D235" s="8">
        <v>51.0</v>
      </c>
      <c r="E235" s="8">
        <f t="shared" si="5"/>
        <v>102</v>
      </c>
      <c r="F235" s="4"/>
    </row>
    <row r="236" ht="12.75" customHeight="1">
      <c r="A236" s="5" t="s">
        <v>468</v>
      </c>
      <c r="B236" s="6" t="s">
        <v>469</v>
      </c>
      <c r="C236" s="7">
        <v>96.0</v>
      </c>
      <c r="D236" s="8">
        <v>51.0</v>
      </c>
      <c r="E236" s="8">
        <f t="shared" si="5"/>
        <v>102</v>
      </c>
      <c r="F236" s="4"/>
      <c r="G236" s="22"/>
      <c r="H236" s="22"/>
      <c r="I236" s="22"/>
    </row>
    <row r="237" ht="12.75" customHeight="1">
      <c r="A237" s="5" t="s">
        <v>470</v>
      </c>
      <c r="B237" s="6" t="s">
        <v>471</v>
      </c>
      <c r="C237" s="7">
        <v>75.0</v>
      </c>
      <c r="D237" s="8">
        <v>59.5</v>
      </c>
      <c r="E237" s="8">
        <f t="shared" si="5"/>
        <v>119</v>
      </c>
      <c r="F237" s="4"/>
      <c r="G237" s="22"/>
      <c r="H237" s="22"/>
      <c r="I237" s="22"/>
    </row>
    <row r="238" ht="12.75" customHeight="1">
      <c r="A238" s="5" t="s">
        <v>472</v>
      </c>
      <c r="B238" s="6" t="s">
        <v>473</v>
      </c>
      <c r="C238" s="7">
        <v>75.0</v>
      </c>
      <c r="D238" s="8">
        <v>59.5</v>
      </c>
      <c r="E238" s="8">
        <f t="shared" si="5"/>
        <v>119</v>
      </c>
      <c r="F238" s="4"/>
      <c r="G238" s="22"/>
      <c r="H238" s="22"/>
      <c r="I238" s="22"/>
    </row>
    <row r="239" ht="12.75" customHeight="1">
      <c r="A239" s="5" t="s">
        <v>474</v>
      </c>
      <c r="B239" s="6" t="s">
        <v>475</v>
      </c>
      <c r="C239" s="7">
        <v>75.0</v>
      </c>
      <c r="D239" s="8">
        <v>59.5</v>
      </c>
      <c r="E239" s="8">
        <f t="shared" si="5"/>
        <v>119</v>
      </c>
      <c r="F239" s="4"/>
      <c r="G239" s="22"/>
      <c r="H239" s="22"/>
      <c r="I239" s="22"/>
    </row>
    <row r="240" ht="12.75" customHeight="1">
      <c r="A240" s="19" t="s">
        <v>476</v>
      </c>
      <c r="B240" s="20" t="s">
        <v>477</v>
      </c>
      <c r="C240" s="21">
        <v>120.0</v>
      </c>
      <c r="D240" s="10">
        <v>42.0</v>
      </c>
      <c r="E240" s="10">
        <f t="shared" si="5"/>
        <v>84</v>
      </c>
      <c r="F240" s="4"/>
      <c r="G240" s="22"/>
      <c r="H240" s="22"/>
      <c r="I240" s="22"/>
    </row>
    <row r="241" ht="12.75" customHeight="1">
      <c r="A241" s="5" t="s">
        <v>478</v>
      </c>
      <c r="B241" s="6" t="s">
        <v>479</v>
      </c>
      <c r="C241" s="7">
        <v>120.0</v>
      </c>
      <c r="D241" s="8">
        <v>42.0</v>
      </c>
      <c r="E241" s="8">
        <f t="shared" si="5"/>
        <v>84</v>
      </c>
      <c r="F241" s="4"/>
    </row>
    <row r="242" ht="12.75" customHeight="1">
      <c r="A242" s="5" t="s">
        <v>480</v>
      </c>
      <c r="B242" s="6" t="s">
        <v>481</v>
      </c>
      <c r="C242" s="7">
        <v>96.0</v>
      </c>
      <c r="D242" s="8">
        <v>40.5</v>
      </c>
      <c r="E242" s="8">
        <f t="shared" si="5"/>
        <v>81</v>
      </c>
      <c r="F242" s="4"/>
    </row>
    <row r="243" ht="12.75" customHeight="1">
      <c r="A243" s="5" t="s">
        <v>482</v>
      </c>
      <c r="B243" s="6" t="s">
        <v>483</v>
      </c>
      <c r="C243" s="7">
        <v>96.0</v>
      </c>
      <c r="D243" s="8">
        <v>40.5</v>
      </c>
      <c r="E243" s="8">
        <f t="shared" si="5"/>
        <v>81</v>
      </c>
      <c r="F243" s="4"/>
    </row>
    <row r="244" ht="12.75" customHeight="1">
      <c r="A244" s="5" t="s">
        <v>484</v>
      </c>
      <c r="B244" s="6" t="s">
        <v>485</v>
      </c>
      <c r="C244" s="7">
        <v>80.0</v>
      </c>
      <c r="D244" s="8">
        <v>47.0</v>
      </c>
      <c r="E244" s="8">
        <f t="shared" si="5"/>
        <v>94</v>
      </c>
      <c r="F244" s="4"/>
    </row>
    <row r="245" ht="12.75" customHeight="1">
      <c r="A245" s="5" t="s">
        <v>486</v>
      </c>
      <c r="B245" s="6" t="s">
        <v>487</v>
      </c>
      <c r="C245" s="7">
        <v>80.0</v>
      </c>
      <c r="D245" s="8">
        <v>47.0</v>
      </c>
      <c r="E245" s="8">
        <f t="shared" si="5"/>
        <v>94</v>
      </c>
      <c r="F245" s="4"/>
    </row>
    <row r="246" ht="12.75" customHeight="1">
      <c r="A246" s="5" t="s">
        <v>488</v>
      </c>
      <c r="B246" s="6" t="s">
        <v>489</v>
      </c>
      <c r="C246" s="7">
        <v>120.0</v>
      </c>
      <c r="D246" s="8">
        <v>33.0</v>
      </c>
      <c r="E246" s="8">
        <f t="shared" si="5"/>
        <v>66</v>
      </c>
      <c r="F246" s="4"/>
    </row>
    <row r="247" ht="12.75" customHeight="1">
      <c r="A247" s="5" t="s">
        <v>490</v>
      </c>
      <c r="B247" s="6" t="s">
        <v>491</v>
      </c>
      <c r="C247" s="7">
        <v>120.0</v>
      </c>
      <c r="D247" s="8">
        <v>33.0</v>
      </c>
      <c r="E247" s="8">
        <f t="shared" si="5"/>
        <v>66</v>
      </c>
      <c r="F247" s="4"/>
    </row>
    <row r="248" ht="12.75" customHeight="1">
      <c r="A248" s="5" t="s">
        <v>492</v>
      </c>
      <c r="B248" s="6" t="s">
        <v>493</v>
      </c>
      <c r="C248" s="7">
        <v>50.0</v>
      </c>
      <c r="D248" s="8">
        <v>80.0</v>
      </c>
      <c r="E248" s="8">
        <f t="shared" si="5"/>
        <v>160</v>
      </c>
      <c r="F248" s="4"/>
    </row>
    <row r="249" ht="12.75" customHeight="1">
      <c r="A249" s="5" t="s">
        <v>494</v>
      </c>
      <c r="B249" s="6" t="s">
        <v>495</v>
      </c>
      <c r="C249" s="7">
        <v>50.0</v>
      </c>
      <c r="D249" s="8">
        <v>80.0</v>
      </c>
      <c r="E249" s="8">
        <f t="shared" si="5"/>
        <v>160</v>
      </c>
      <c r="F249" s="4"/>
    </row>
    <row r="250" ht="12.75" customHeight="1">
      <c r="A250" s="5" t="s">
        <v>496</v>
      </c>
      <c r="B250" s="6" t="s">
        <v>497</v>
      </c>
      <c r="C250" s="7">
        <v>172.0</v>
      </c>
      <c r="D250" s="8">
        <v>41.5</v>
      </c>
      <c r="E250" s="8">
        <f t="shared" si="5"/>
        <v>83</v>
      </c>
      <c r="F250" s="4"/>
    </row>
    <row r="251" ht="12.75" customHeight="1">
      <c r="A251" s="5" t="s">
        <v>498</v>
      </c>
      <c r="B251" s="6" t="s">
        <v>499</v>
      </c>
      <c r="C251" s="7">
        <v>136.0</v>
      </c>
      <c r="D251" s="8">
        <v>49.5</v>
      </c>
      <c r="E251" s="8">
        <f t="shared" si="5"/>
        <v>99</v>
      </c>
      <c r="F251" s="4"/>
    </row>
    <row r="252" ht="12.75" customHeight="1">
      <c r="A252" s="5" t="s">
        <v>500</v>
      </c>
      <c r="B252" s="6" t="s">
        <v>501</v>
      </c>
      <c r="C252" s="7">
        <v>70.0</v>
      </c>
      <c r="D252" s="8">
        <v>83.0</v>
      </c>
      <c r="E252" s="8">
        <f t="shared" si="5"/>
        <v>166</v>
      </c>
      <c r="F252" s="4"/>
    </row>
    <row r="253" ht="12.75" customHeight="1">
      <c r="A253" s="5" t="s">
        <v>502</v>
      </c>
      <c r="B253" s="6" t="s">
        <v>503</v>
      </c>
      <c r="C253" s="7">
        <v>200.0</v>
      </c>
      <c r="D253" s="8">
        <v>43.0</v>
      </c>
      <c r="E253" s="8">
        <f t="shared" si="5"/>
        <v>86</v>
      </c>
      <c r="F253" s="4"/>
    </row>
    <row r="254" ht="12.75" customHeight="1">
      <c r="A254" s="5" t="s">
        <v>504</v>
      </c>
      <c r="B254" s="6" t="s">
        <v>505</v>
      </c>
      <c r="C254" s="7">
        <v>100.0</v>
      </c>
      <c r="D254" s="8">
        <v>60.0</v>
      </c>
      <c r="E254" s="8">
        <f t="shared" si="5"/>
        <v>120</v>
      </c>
      <c r="F254" s="4"/>
    </row>
    <row r="255" ht="12.75" customHeight="1">
      <c r="A255" s="5" t="s">
        <v>506</v>
      </c>
      <c r="B255" s="6" t="s">
        <v>507</v>
      </c>
      <c r="C255" s="7">
        <v>50.0</v>
      </c>
      <c r="D255" s="8">
        <v>84.0</v>
      </c>
      <c r="E255" s="8">
        <f t="shared" si="5"/>
        <v>168</v>
      </c>
      <c r="F255" s="4"/>
    </row>
    <row r="256" ht="12.75" customHeight="1">
      <c r="A256" s="5" t="s">
        <v>508</v>
      </c>
      <c r="B256" s="6" t="s">
        <v>509</v>
      </c>
      <c r="C256" s="7">
        <v>96.0</v>
      </c>
      <c r="D256" s="8">
        <v>55.5</v>
      </c>
      <c r="E256" s="8">
        <f t="shared" si="5"/>
        <v>111</v>
      </c>
      <c r="F256" s="4"/>
    </row>
    <row r="257" ht="12.75" customHeight="1">
      <c r="A257" s="5" t="s">
        <v>510</v>
      </c>
      <c r="B257" s="6" t="s">
        <v>511</v>
      </c>
      <c r="C257" s="7">
        <v>100.0</v>
      </c>
      <c r="D257" s="8">
        <v>109.0</v>
      </c>
      <c r="E257" s="8">
        <f t="shared" si="5"/>
        <v>218</v>
      </c>
      <c r="F257" s="4"/>
    </row>
    <row r="258" ht="13.5" customHeight="1">
      <c r="A258" s="5" t="s">
        <v>512</v>
      </c>
      <c r="B258" s="6" t="s">
        <v>513</v>
      </c>
      <c r="C258" s="7">
        <v>100.0</v>
      </c>
      <c r="D258" s="8">
        <v>109.0</v>
      </c>
      <c r="E258" s="8">
        <f t="shared" si="5"/>
        <v>218</v>
      </c>
      <c r="F258" s="4"/>
    </row>
    <row r="259" ht="12.75" customHeight="1">
      <c r="A259" s="5" t="s">
        <v>514</v>
      </c>
      <c r="B259" s="6" t="s">
        <v>515</v>
      </c>
      <c r="C259" s="7">
        <v>200.0</v>
      </c>
      <c r="D259" s="8">
        <v>39.5</v>
      </c>
      <c r="E259" s="8">
        <f t="shared" si="5"/>
        <v>79</v>
      </c>
      <c r="F259" s="4"/>
    </row>
    <row r="260" ht="12.75" customHeight="1">
      <c r="A260" s="5" t="s">
        <v>516</v>
      </c>
      <c r="B260" s="6" t="s">
        <v>517</v>
      </c>
      <c r="C260" s="7">
        <v>100.0</v>
      </c>
      <c r="D260" s="8">
        <v>53.0</v>
      </c>
      <c r="E260" s="8">
        <f t="shared" si="5"/>
        <v>106</v>
      </c>
      <c r="F260" s="4"/>
    </row>
    <row r="261" ht="12.75" customHeight="1">
      <c r="A261" s="5" t="s">
        <v>518</v>
      </c>
      <c r="B261" s="6" t="s">
        <v>519</v>
      </c>
      <c r="C261" s="7">
        <v>50.0</v>
      </c>
      <c r="D261" s="8">
        <v>95.0</v>
      </c>
      <c r="E261" s="8">
        <f t="shared" si="5"/>
        <v>190</v>
      </c>
      <c r="F261" s="4"/>
    </row>
    <row r="262" ht="12.75" customHeight="1">
      <c r="A262" s="5" t="s">
        <v>520</v>
      </c>
      <c r="B262" s="6" t="s">
        <v>521</v>
      </c>
      <c r="C262" s="7">
        <v>100.0</v>
      </c>
      <c r="D262" s="8">
        <v>106.5</v>
      </c>
      <c r="E262" s="8">
        <f t="shared" si="5"/>
        <v>213</v>
      </c>
      <c r="F262" s="4"/>
    </row>
    <row r="263" ht="12.75" customHeight="1">
      <c r="A263" s="5" t="s">
        <v>522</v>
      </c>
      <c r="B263" s="6" t="s">
        <v>523</v>
      </c>
      <c r="C263" s="7">
        <v>50.0</v>
      </c>
      <c r="D263" s="8">
        <v>120.0</v>
      </c>
      <c r="E263" s="8">
        <f t="shared" si="5"/>
        <v>240</v>
      </c>
      <c r="F263" s="4"/>
    </row>
    <row r="264" ht="12.75" customHeight="1">
      <c r="A264" s="5" t="s">
        <v>524</v>
      </c>
      <c r="B264" s="6" t="s">
        <v>525</v>
      </c>
      <c r="C264" s="7">
        <v>120.0</v>
      </c>
      <c r="D264" s="8">
        <v>92.0</v>
      </c>
      <c r="E264" s="8">
        <f t="shared" si="5"/>
        <v>184</v>
      </c>
      <c r="F264" s="4"/>
    </row>
    <row r="265" ht="12.75" customHeight="1">
      <c r="A265" s="5" t="s">
        <v>526</v>
      </c>
      <c r="B265" s="6" t="s">
        <v>527</v>
      </c>
      <c r="C265" s="7">
        <v>50.0</v>
      </c>
      <c r="D265" s="8">
        <v>65.0</v>
      </c>
      <c r="E265" s="8">
        <f t="shared" si="5"/>
        <v>130</v>
      </c>
      <c r="F265" s="4"/>
    </row>
    <row r="266" ht="12.75" customHeight="1">
      <c r="A266" s="5" t="s">
        <v>528</v>
      </c>
      <c r="B266" s="6" t="s">
        <v>529</v>
      </c>
      <c r="C266" s="7">
        <v>50.0</v>
      </c>
      <c r="D266" s="8">
        <v>102.5</v>
      </c>
      <c r="E266" s="8">
        <f t="shared" si="5"/>
        <v>205</v>
      </c>
      <c r="F266" s="4"/>
    </row>
    <row r="267" ht="12.75" customHeight="1">
      <c r="A267" s="5" t="s">
        <v>530</v>
      </c>
      <c r="B267" s="6" t="s">
        <v>531</v>
      </c>
      <c r="C267" s="7">
        <v>100.0</v>
      </c>
      <c r="D267" s="8">
        <v>45.0</v>
      </c>
      <c r="E267" s="8">
        <f t="shared" si="5"/>
        <v>90</v>
      </c>
      <c r="F267" s="4"/>
    </row>
    <row r="268" ht="12.75" customHeight="1">
      <c r="A268" s="5" t="s">
        <v>532</v>
      </c>
      <c r="B268" s="6" t="s">
        <v>533</v>
      </c>
      <c r="C268" s="7">
        <v>50.0</v>
      </c>
      <c r="D268" s="8">
        <v>53.0</v>
      </c>
      <c r="E268" s="8">
        <f t="shared" si="5"/>
        <v>106</v>
      </c>
      <c r="F268" s="4"/>
    </row>
    <row r="269" ht="12.75" customHeight="1">
      <c r="A269" s="5" t="s">
        <v>534</v>
      </c>
      <c r="B269" s="6" t="s">
        <v>535</v>
      </c>
      <c r="C269" s="7">
        <v>50.0</v>
      </c>
      <c r="D269" s="8">
        <v>65.0</v>
      </c>
      <c r="E269" s="8">
        <f t="shared" si="5"/>
        <v>130</v>
      </c>
      <c r="F269" s="4"/>
    </row>
    <row r="270" ht="12.75" customHeight="1">
      <c r="A270" s="5" t="s">
        <v>536</v>
      </c>
      <c r="B270" s="6" t="s">
        <v>537</v>
      </c>
      <c r="C270" s="7">
        <v>50.0</v>
      </c>
      <c r="D270" s="8">
        <v>78.5</v>
      </c>
      <c r="E270" s="8">
        <f t="shared" si="5"/>
        <v>157</v>
      </c>
      <c r="F270" s="4"/>
    </row>
    <row r="271" ht="12.75" customHeight="1">
      <c r="A271" s="5" t="s">
        <v>538</v>
      </c>
      <c r="B271" s="6" t="s">
        <v>539</v>
      </c>
      <c r="C271" s="7">
        <v>100.0</v>
      </c>
      <c r="D271" s="8">
        <v>50.5</v>
      </c>
      <c r="E271" s="8">
        <f t="shared" si="5"/>
        <v>101</v>
      </c>
      <c r="F271" s="4"/>
    </row>
    <row r="272" ht="12.75" customHeight="1">
      <c r="A272" s="5" t="s">
        <v>540</v>
      </c>
      <c r="B272" s="6" t="s">
        <v>541</v>
      </c>
      <c r="C272" s="7">
        <v>50.0</v>
      </c>
      <c r="D272" s="8">
        <v>114.0</v>
      </c>
      <c r="E272" s="8">
        <f t="shared" si="5"/>
        <v>228</v>
      </c>
      <c r="F272" s="4"/>
    </row>
    <row r="273" ht="12.75" customHeight="1">
      <c r="A273" s="5" t="s">
        <v>542</v>
      </c>
      <c r="B273" s="6" t="s">
        <v>541</v>
      </c>
      <c r="C273" s="7">
        <v>50.0</v>
      </c>
      <c r="D273" s="8">
        <v>114.0</v>
      </c>
      <c r="E273" s="8">
        <f t="shared" si="5"/>
        <v>228</v>
      </c>
      <c r="F273" s="4"/>
    </row>
    <row r="274" ht="12.75" customHeight="1">
      <c r="A274" s="5" t="s">
        <v>543</v>
      </c>
      <c r="B274" s="6" t="s">
        <v>541</v>
      </c>
      <c r="C274" s="7">
        <v>50.0</v>
      </c>
      <c r="D274" s="8">
        <v>114.0</v>
      </c>
      <c r="E274" s="8">
        <f t="shared" si="5"/>
        <v>228</v>
      </c>
      <c r="F274" s="4"/>
    </row>
    <row r="275" ht="12.75" customHeight="1">
      <c r="A275" s="5" t="s">
        <v>544</v>
      </c>
      <c r="B275" s="6" t="s">
        <v>545</v>
      </c>
      <c r="C275" s="7">
        <v>60.0</v>
      </c>
      <c r="D275" s="8">
        <v>59.5</v>
      </c>
      <c r="E275" s="8">
        <f t="shared" si="5"/>
        <v>119</v>
      </c>
      <c r="F275" s="4"/>
    </row>
    <row r="276" ht="12.75" customHeight="1">
      <c r="A276" s="5" t="s">
        <v>546</v>
      </c>
      <c r="B276" s="6" t="s">
        <v>547</v>
      </c>
      <c r="C276" s="7">
        <v>60.0</v>
      </c>
      <c r="D276" s="8">
        <v>77.5</v>
      </c>
      <c r="E276" s="8">
        <f t="shared" si="5"/>
        <v>155</v>
      </c>
      <c r="F276" s="4"/>
    </row>
    <row r="277" ht="12.75" customHeight="1">
      <c r="A277" s="5" t="s">
        <v>548</v>
      </c>
      <c r="B277" s="6" t="s">
        <v>549</v>
      </c>
      <c r="C277" s="7">
        <v>100.0</v>
      </c>
      <c r="D277" s="8">
        <v>54.0</v>
      </c>
      <c r="E277" s="8">
        <f t="shared" si="5"/>
        <v>108</v>
      </c>
      <c r="F277" s="4"/>
    </row>
    <row r="278" ht="12.75" customHeight="1">
      <c r="A278" s="5" t="s">
        <v>550</v>
      </c>
      <c r="B278" s="6" t="s">
        <v>551</v>
      </c>
      <c r="C278" s="7">
        <v>132.0</v>
      </c>
      <c r="D278" s="8">
        <v>20.0</v>
      </c>
      <c r="E278" s="8">
        <f t="shared" si="5"/>
        <v>40</v>
      </c>
      <c r="F278" s="4"/>
    </row>
    <row r="279" ht="12.75" customHeight="1">
      <c r="A279" s="5" t="s">
        <v>552</v>
      </c>
      <c r="B279" s="6" t="s">
        <v>553</v>
      </c>
      <c r="C279" s="7">
        <v>72.0</v>
      </c>
      <c r="D279" s="8">
        <v>33.0</v>
      </c>
      <c r="E279" s="8">
        <f t="shared" si="5"/>
        <v>66</v>
      </c>
      <c r="F279" s="4"/>
    </row>
    <row r="280" ht="12.75" customHeight="1">
      <c r="A280" s="5" t="s">
        <v>554</v>
      </c>
      <c r="B280" s="6" t="s">
        <v>555</v>
      </c>
      <c r="C280" s="7">
        <v>144.0</v>
      </c>
      <c r="D280" s="8">
        <v>32.0</v>
      </c>
      <c r="E280" s="8">
        <f t="shared" si="5"/>
        <v>64</v>
      </c>
      <c r="F280" s="4"/>
    </row>
    <row r="281" ht="12.75" customHeight="1">
      <c r="A281" s="5" t="s">
        <v>556</v>
      </c>
      <c r="B281" s="6" t="s">
        <v>557</v>
      </c>
      <c r="C281" s="7">
        <v>84.0</v>
      </c>
      <c r="D281" s="8">
        <v>23.0</v>
      </c>
      <c r="E281" s="8">
        <f t="shared" si="5"/>
        <v>46</v>
      </c>
      <c r="F281" s="4"/>
    </row>
    <row r="282" ht="12.75" customHeight="1">
      <c r="A282" s="5" t="s">
        <v>558</v>
      </c>
      <c r="B282" s="6" t="s">
        <v>559</v>
      </c>
      <c r="C282" s="7">
        <v>144.0</v>
      </c>
      <c r="D282" s="8">
        <v>23.0</v>
      </c>
      <c r="E282" s="8">
        <f t="shared" si="5"/>
        <v>46</v>
      </c>
      <c r="F282" s="4"/>
    </row>
    <row r="283" ht="12.75" customHeight="1">
      <c r="A283" s="5" t="s">
        <v>560</v>
      </c>
      <c r="B283" s="6" t="s">
        <v>561</v>
      </c>
      <c r="C283" s="7">
        <v>72.0</v>
      </c>
      <c r="D283" s="8">
        <v>26.0</v>
      </c>
      <c r="E283" s="8">
        <f t="shared" si="5"/>
        <v>52</v>
      </c>
      <c r="F283" s="4"/>
    </row>
    <row r="284" ht="12.75" customHeight="1">
      <c r="A284" s="5" t="s">
        <v>562</v>
      </c>
      <c r="B284" s="6" t="s">
        <v>563</v>
      </c>
      <c r="C284" s="7">
        <v>72.0</v>
      </c>
      <c r="D284" s="8">
        <v>20.5</v>
      </c>
      <c r="E284" s="8">
        <f t="shared" si="5"/>
        <v>41</v>
      </c>
      <c r="F284" s="4"/>
    </row>
    <row r="285" ht="12.75" customHeight="1">
      <c r="A285" s="5" t="s">
        <v>564</v>
      </c>
      <c r="B285" s="6" t="s">
        <v>565</v>
      </c>
      <c r="C285" s="7">
        <v>288.0</v>
      </c>
      <c r="D285" s="8">
        <v>16.0</v>
      </c>
      <c r="E285" s="8">
        <f t="shared" si="5"/>
        <v>32</v>
      </c>
      <c r="F285" s="4"/>
    </row>
    <row r="286" ht="12.75" customHeight="1">
      <c r="A286" s="5" t="s">
        <v>566</v>
      </c>
      <c r="B286" s="6" t="s">
        <v>567</v>
      </c>
      <c r="C286" s="7">
        <v>144.0</v>
      </c>
      <c r="D286" s="8">
        <v>18.5</v>
      </c>
      <c r="E286" s="8">
        <f t="shared" si="5"/>
        <v>37</v>
      </c>
      <c r="F286" s="4"/>
    </row>
    <row r="287" ht="12.75" customHeight="1">
      <c r="A287" s="5" t="s">
        <v>568</v>
      </c>
      <c r="B287" s="6" t="s">
        <v>569</v>
      </c>
      <c r="C287" s="7">
        <v>72.0</v>
      </c>
      <c r="D287" s="8">
        <v>25.0</v>
      </c>
      <c r="E287" s="8">
        <f t="shared" si="5"/>
        <v>50</v>
      </c>
      <c r="F287" s="4"/>
    </row>
    <row r="288" ht="12.75" customHeight="1">
      <c r="A288" s="5" t="s">
        <v>570</v>
      </c>
      <c r="B288" s="6" t="s">
        <v>571</v>
      </c>
      <c r="C288" s="7">
        <v>72.0</v>
      </c>
      <c r="D288" s="8">
        <v>21.0</v>
      </c>
      <c r="E288" s="8">
        <f t="shared" si="5"/>
        <v>42</v>
      </c>
      <c r="F288" s="4"/>
    </row>
    <row r="289" ht="12.75" customHeight="1">
      <c r="A289" s="5" t="s">
        <v>572</v>
      </c>
      <c r="B289" s="6" t="s">
        <v>573</v>
      </c>
      <c r="C289" s="7">
        <v>288.0</v>
      </c>
      <c r="D289" s="8">
        <v>16.0</v>
      </c>
      <c r="E289" s="8">
        <f t="shared" si="5"/>
        <v>32</v>
      </c>
      <c r="F289" s="4"/>
    </row>
    <row r="290" ht="12.75" customHeight="1">
      <c r="A290" s="5" t="s">
        <v>574</v>
      </c>
      <c r="B290" s="6" t="s">
        <v>575</v>
      </c>
      <c r="C290" s="7">
        <v>144.0</v>
      </c>
      <c r="D290" s="8">
        <v>18.5</v>
      </c>
      <c r="E290" s="8">
        <f t="shared" si="5"/>
        <v>37</v>
      </c>
      <c r="F290" s="4"/>
    </row>
    <row r="291" ht="12.75" customHeight="1">
      <c r="A291" s="5" t="s">
        <v>576</v>
      </c>
      <c r="B291" s="6" t="s">
        <v>577</v>
      </c>
      <c r="C291" s="7">
        <v>288.0</v>
      </c>
      <c r="D291" s="8">
        <v>16.0</v>
      </c>
      <c r="E291" s="8">
        <f t="shared" si="5"/>
        <v>32</v>
      </c>
      <c r="F291" s="4"/>
    </row>
    <row r="292" ht="12.75" customHeight="1">
      <c r="A292" s="5" t="s">
        <v>578</v>
      </c>
      <c r="B292" s="6" t="s">
        <v>579</v>
      </c>
      <c r="C292" s="7">
        <v>144.0</v>
      </c>
      <c r="D292" s="8">
        <v>20.0</v>
      </c>
      <c r="E292" s="8">
        <f t="shared" si="5"/>
        <v>40</v>
      </c>
      <c r="F292" s="4"/>
    </row>
    <row r="293" ht="12.75" customHeight="1">
      <c r="A293" s="5" t="s">
        <v>580</v>
      </c>
      <c r="B293" s="6" t="s">
        <v>581</v>
      </c>
      <c r="C293" s="7">
        <v>72.0</v>
      </c>
      <c r="D293" s="8">
        <v>25.0</v>
      </c>
      <c r="E293" s="8">
        <f t="shared" si="5"/>
        <v>50</v>
      </c>
      <c r="F293" s="4"/>
    </row>
    <row r="294" ht="13.5" customHeight="1">
      <c r="A294" s="5" t="s">
        <v>582</v>
      </c>
      <c r="B294" s="6" t="s">
        <v>583</v>
      </c>
      <c r="C294" s="7">
        <v>84.0</v>
      </c>
      <c r="D294" s="8">
        <v>26.5</v>
      </c>
      <c r="E294" s="8">
        <f t="shared" si="5"/>
        <v>53</v>
      </c>
      <c r="F294" s="4"/>
    </row>
    <row r="295" ht="12.75" customHeight="1">
      <c r="A295" s="19" t="s">
        <v>584</v>
      </c>
      <c r="B295" s="19" t="s">
        <v>585</v>
      </c>
      <c r="C295" s="21">
        <v>84.0</v>
      </c>
      <c r="D295" s="10">
        <v>26.5</v>
      </c>
      <c r="E295" s="10">
        <f t="shared" si="5"/>
        <v>53</v>
      </c>
      <c r="F295" s="4"/>
    </row>
    <row r="296" ht="12.75" customHeight="1">
      <c r="A296" s="19" t="s">
        <v>586</v>
      </c>
      <c r="B296" s="19" t="s">
        <v>587</v>
      </c>
      <c r="C296" s="21">
        <v>288.0</v>
      </c>
      <c r="D296" s="10">
        <v>13.0</v>
      </c>
      <c r="E296" s="10">
        <f t="shared" si="5"/>
        <v>26</v>
      </c>
      <c r="F296" s="4"/>
    </row>
    <row r="297" ht="12.75" customHeight="1">
      <c r="A297" s="5" t="s">
        <v>588</v>
      </c>
      <c r="B297" s="6" t="s">
        <v>589</v>
      </c>
      <c r="C297" s="7">
        <v>72.0</v>
      </c>
      <c r="D297" s="8">
        <v>21.0</v>
      </c>
      <c r="E297" s="8">
        <f t="shared" si="5"/>
        <v>42</v>
      </c>
      <c r="F297" s="4"/>
    </row>
    <row r="298" ht="12.75" customHeight="1">
      <c r="A298" s="5" t="s">
        <v>590</v>
      </c>
      <c r="B298" s="6" t="s">
        <v>591</v>
      </c>
      <c r="C298" s="7">
        <v>72.0</v>
      </c>
      <c r="D298" s="8">
        <v>34.0</v>
      </c>
      <c r="E298" s="8">
        <f t="shared" si="5"/>
        <v>68</v>
      </c>
      <c r="F298" s="4"/>
    </row>
    <row r="299" ht="12.75" customHeight="1">
      <c r="A299" s="5" t="s">
        <v>592</v>
      </c>
      <c r="B299" s="6" t="s">
        <v>593</v>
      </c>
      <c r="C299" s="7">
        <v>72.0</v>
      </c>
      <c r="D299" s="8">
        <v>26.0</v>
      </c>
      <c r="E299" s="8">
        <f t="shared" si="5"/>
        <v>52</v>
      </c>
      <c r="F299" s="4"/>
    </row>
    <row r="300" ht="12.75" customHeight="1">
      <c r="A300" s="5" t="s">
        <v>594</v>
      </c>
      <c r="B300" s="6" t="s">
        <v>595</v>
      </c>
      <c r="C300" s="7">
        <v>144.0</v>
      </c>
      <c r="D300" s="8">
        <v>28.5</v>
      </c>
      <c r="E300" s="8">
        <f t="shared" si="5"/>
        <v>57</v>
      </c>
      <c r="F300" s="4"/>
    </row>
    <row r="301" ht="12.75" customHeight="1">
      <c r="A301" s="5" t="s">
        <v>596</v>
      </c>
      <c r="B301" s="6" t="s">
        <v>597</v>
      </c>
      <c r="C301" s="7">
        <v>84.0</v>
      </c>
      <c r="D301" s="8">
        <v>33.0</v>
      </c>
      <c r="E301" s="8">
        <f t="shared" si="5"/>
        <v>66</v>
      </c>
      <c r="F301" s="4"/>
    </row>
    <row r="302" ht="12.75" customHeight="1">
      <c r="A302" s="5" t="s">
        <v>598</v>
      </c>
      <c r="B302" s="6" t="s">
        <v>599</v>
      </c>
      <c r="C302" s="7">
        <v>144.0</v>
      </c>
      <c r="D302" s="8">
        <v>26.0</v>
      </c>
      <c r="E302" s="8">
        <f t="shared" si="5"/>
        <v>52</v>
      </c>
      <c r="F302" s="4"/>
    </row>
    <row r="303" ht="12.75" customHeight="1">
      <c r="A303" s="5" t="s">
        <v>600</v>
      </c>
      <c r="B303" s="6" t="s">
        <v>601</v>
      </c>
      <c r="C303" s="7">
        <v>144.0</v>
      </c>
      <c r="D303" s="8">
        <v>22.0</v>
      </c>
      <c r="E303" s="8">
        <f t="shared" si="5"/>
        <v>44</v>
      </c>
      <c r="F303" s="4"/>
    </row>
    <row r="304" ht="12.75" customHeight="1">
      <c r="A304" s="5" t="s">
        <v>602</v>
      </c>
      <c r="B304" s="6" t="s">
        <v>603</v>
      </c>
      <c r="C304" s="7">
        <v>144.0</v>
      </c>
      <c r="D304" s="8">
        <v>19.5</v>
      </c>
      <c r="E304" s="8">
        <f t="shared" si="5"/>
        <v>39</v>
      </c>
      <c r="F304" s="4"/>
    </row>
    <row r="305" ht="12.75" customHeight="1">
      <c r="A305" s="5" t="s">
        <v>604</v>
      </c>
      <c r="B305" s="6" t="s">
        <v>605</v>
      </c>
      <c r="C305" s="7">
        <v>144.0</v>
      </c>
      <c r="D305" s="8">
        <v>17.0</v>
      </c>
      <c r="E305" s="8">
        <f t="shared" si="5"/>
        <v>34</v>
      </c>
      <c r="F305" s="4"/>
    </row>
    <row r="306" ht="12.75" customHeight="1">
      <c r="A306" s="5" t="s">
        <v>606</v>
      </c>
      <c r="B306" s="6" t="s">
        <v>607</v>
      </c>
      <c r="C306" s="7">
        <v>72.0</v>
      </c>
      <c r="D306" s="8">
        <v>23.0</v>
      </c>
      <c r="E306" s="8">
        <f t="shared" si="5"/>
        <v>46</v>
      </c>
      <c r="F306" s="4"/>
    </row>
    <row r="307" ht="12.75" customHeight="1">
      <c r="A307" s="5" t="s">
        <v>608</v>
      </c>
      <c r="B307" s="6" t="s">
        <v>609</v>
      </c>
      <c r="C307" s="7">
        <v>144.0</v>
      </c>
      <c r="D307" s="8">
        <v>23.0</v>
      </c>
      <c r="E307" s="8">
        <f t="shared" si="5"/>
        <v>46</v>
      </c>
      <c r="F307" s="4"/>
    </row>
    <row r="308" ht="12.75" customHeight="1">
      <c r="A308" s="19" t="s">
        <v>610</v>
      </c>
      <c r="B308" s="20" t="s">
        <v>611</v>
      </c>
      <c r="C308" s="21">
        <v>144.0</v>
      </c>
      <c r="D308" s="10">
        <v>23.0</v>
      </c>
      <c r="E308" s="10">
        <f t="shared" si="5"/>
        <v>46</v>
      </c>
      <c r="F308" s="4"/>
    </row>
    <row r="309" ht="12.75" customHeight="1">
      <c r="A309" s="5" t="s">
        <v>612</v>
      </c>
      <c r="B309" s="6" t="s">
        <v>613</v>
      </c>
      <c r="C309" s="7">
        <v>144.0</v>
      </c>
      <c r="D309" s="8">
        <v>23.0</v>
      </c>
      <c r="E309" s="8">
        <f t="shared" si="5"/>
        <v>46</v>
      </c>
      <c r="F309" s="4"/>
    </row>
    <row r="310" ht="12.75" customHeight="1">
      <c r="A310" s="5" t="s">
        <v>614</v>
      </c>
      <c r="B310" s="6" t="s">
        <v>615</v>
      </c>
      <c r="C310" s="7">
        <v>1.0</v>
      </c>
      <c r="D310" s="8">
        <v>74.0</v>
      </c>
      <c r="E310" s="8">
        <f t="shared" si="5"/>
        <v>148</v>
      </c>
      <c r="F310" s="4"/>
    </row>
    <row r="311" ht="12.75" customHeight="1">
      <c r="A311" s="5" t="s">
        <v>616</v>
      </c>
      <c r="B311" s="6" t="s">
        <v>617</v>
      </c>
      <c r="C311" s="7">
        <v>1.0</v>
      </c>
      <c r="D311" s="8">
        <v>68.0</v>
      </c>
      <c r="E311" s="8">
        <f t="shared" si="5"/>
        <v>136</v>
      </c>
      <c r="F311" s="4"/>
    </row>
    <row r="312" ht="12.75" customHeight="1">
      <c r="A312" s="5" t="s">
        <v>618</v>
      </c>
      <c r="B312" s="6" t="s">
        <v>619</v>
      </c>
      <c r="C312" s="7">
        <v>1.0</v>
      </c>
      <c r="D312" s="8">
        <v>100.0</v>
      </c>
      <c r="E312" s="8">
        <f t="shared" si="5"/>
        <v>200</v>
      </c>
      <c r="F312" s="4"/>
    </row>
    <row r="313" ht="12.75" customHeight="1">
      <c r="A313" s="5" t="s">
        <v>620</v>
      </c>
      <c r="B313" s="6" t="s">
        <v>621</v>
      </c>
      <c r="C313" s="7">
        <v>144.0</v>
      </c>
      <c r="D313" s="8">
        <v>22.5</v>
      </c>
      <c r="E313" s="8">
        <f t="shared" si="5"/>
        <v>45</v>
      </c>
      <c r="F313" s="4"/>
    </row>
    <row r="314" ht="12.75" customHeight="1">
      <c r="A314" s="5" t="s">
        <v>622</v>
      </c>
      <c r="B314" s="6" t="s">
        <v>623</v>
      </c>
      <c r="C314" s="7">
        <v>72.0</v>
      </c>
      <c r="D314" s="8">
        <v>37.5</v>
      </c>
      <c r="E314" s="8">
        <f t="shared" si="5"/>
        <v>75</v>
      </c>
      <c r="F314" s="4"/>
    </row>
    <row r="315" ht="12.75" customHeight="1">
      <c r="A315" s="5" t="s">
        <v>624</v>
      </c>
      <c r="B315" s="6" t="s">
        <v>625</v>
      </c>
      <c r="C315" s="7">
        <v>72.0</v>
      </c>
      <c r="D315" s="8">
        <v>53.5</v>
      </c>
      <c r="E315" s="8">
        <f t="shared" si="5"/>
        <v>107</v>
      </c>
      <c r="F315" s="4"/>
    </row>
    <row r="316" ht="12.75" customHeight="1">
      <c r="A316" s="5" t="s">
        <v>626</v>
      </c>
      <c r="B316" s="6" t="s">
        <v>627</v>
      </c>
      <c r="C316" s="7">
        <v>48.0</v>
      </c>
      <c r="D316" s="8">
        <v>59.5</v>
      </c>
      <c r="E316" s="8">
        <f t="shared" si="5"/>
        <v>119</v>
      </c>
      <c r="F316" s="4"/>
    </row>
    <row r="317" ht="12.75" customHeight="1">
      <c r="A317" s="19" t="s">
        <v>628</v>
      </c>
      <c r="B317" s="20" t="s">
        <v>629</v>
      </c>
      <c r="C317" s="21">
        <v>48.0</v>
      </c>
      <c r="D317" s="10">
        <v>79.5</v>
      </c>
      <c r="E317" s="10">
        <f t="shared" si="5"/>
        <v>159</v>
      </c>
      <c r="F317" s="4"/>
    </row>
    <row r="318" ht="12.75" customHeight="1">
      <c r="A318" s="19" t="s">
        <v>630</v>
      </c>
      <c r="B318" s="20" t="s">
        <v>631</v>
      </c>
      <c r="C318" s="21">
        <v>36.0</v>
      </c>
      <c r="D318" s="10">
        <v>105.5</v>
      </c>
      <c r="E318" s="10">
        <f t="shared" si="5"/>
        <v>211</v>
      </c>
      <c r="F318" s="4"/>
    </row>
    <row r="319" ht="12.75" customHeight="1">
      <c r="A319" s="11" t="s">
        <v>632</v>
      </c>
      <c r="B319" s="6" t="s">
        <v>633</v>
      </c>
      <c r="C319" s="7">
        <v>144.0</v>
      </c>
      <c r="D319" s="10">
        <v>31.0</v>
      </c>
      <c r="E319" s="10">
        <f t="shared" si="5"/>
        <v>62</v>
      </c>
      <c r="F319" s="4"/>
    </row>
    <row r="320" ht="12.75" customHeight="1">
      <c r="A320" s="11" t="s">
        <v>634</v>
      </c>
      <c r="B320" s="6" t="s">
        <v>635</v>
      </c>
      <c r="C320" s="7">
        <v>72.0</v>
      </c>
      <c r="D320" s="10">
        <v>52.0</v>
      </c>
      <c r="E320" s="10">
        <f t="shared" si="5"/>
        <v>104</v>
      </c>
      <c r="F320" s="4"/>
    </row>
    <row r="321" ht="12.75" customHeight="1">
      <c r="A321" s="11" t="s">
        <v>636</v>
      </c>
      <c r="B321" s="6" t="s">
        <v>637</v>
      </c>
      <c r="C321" s="7">
        <v>72.0</v>
      </c>
      <c r="D321" s="10">
        <v>71.0</v>
      </c>
      <c r="E321" s="10">
        <f t="shared" si="5"/>
        <v>142</v>
      </c>
      <c r="F321" s="4"/>
    </row>
    <row r="322" ht="12.75" customHeight="1">
      <c r="A322" s="11" t="s">
        <v>638</v>
      </c>
      <c r="B322" s="6" t="s">
        <v>639</v>
      </c>
      <c r="C322" s="7">
        <v>48.0</v>
      </c>
      <c r="D322" s="10">
        <v>77.0</v>
      </c>
      <c r="E322" s="10">
        <f t="shared" si="5"/>
        <v>154</v>
      </c>
      <c r="F322" s="4"/>
    </row>
    <row r="323" ht="12.75" customHeight="1">
      <c r="A323" s="11" t="s">
        <v>640</v>
      </c>
      <c r="B323" s="6" t="s">
        <v>641</v>
      </c>
      <c r="C323" s="7">
        <v>48.0</v>
      </c>
      <c r="D323" s="10">
        <v>108.5</v>
      </c>
      <c r="E323" s="10">
        <f t="shared" si="5"/>
        <v>217</v>
      </c>
      <c r="F323" s="4"/>
    </row>
    <row r="324" ht="12.75" customHeight="1">
      <c r="A324" s="11" t="s">
        <v>642</v>
      </c>
      <c r="B324" s="20" t="s">
        <v>643</v>
      </c>
      <c r="C324" s="21">
        <v>36.0</v>
      </c>
      <c r="D324" s="10">
        <v>134.0</v>
      </c>
      <c r="E324" s="10">
        <f t="shared" si="5"/>
        <v>268</v>
      </c>
      <c r="F324" s="4"/>
    </row>
    <row r="325" ht="12.75" customHeight="1">
      <c r="A325" s="11" t="s">
        <v>644</v>
      </c>
      <c r="B325" s="6" t="s">
        <v>645</v>
      </c>
      <c r="C325" s="7">
        <v>144.0</v>
      </c>
      <c r="D325" s="10">
        <v>31.0</v>
      </c>
      <c r="E325" s="10">
        <f t="shared" si="5"/>
        <v>62</v>
      </c>
      <c r="F325" s="4"/>
    </row>
    <row r="326" ht="12.75" customHeight="1">
      <c r="A326" s="11" t="s">
        <v>646</v>
      </c>
      <c r="B326" s="6" t="s">
        <v>647</v>
      </c>
      <c r="C326" s="7">
        <v>72.0</v>
      </c>
      <c r="D326" s="10">
        <v>52.0</v>
      </c>
      <c r="E326" s="10">
        <f t="shared" si="5"/>
        <v>104</v>
      </c>
      <c r="F326" s="4"/>
    </row>
    <row r="327" ht="12.75" customHeight="1">
      <c r="A327" s="11" t="s">
        <v>648</v>
      </c>
      <c r="B327" s="6" t="s">
        <v>649</v>
      </c>
      <c r="C327" s="7">
        <v>72.0</v>
      </c>
      <c r="D327" s="10">
        <v>71.0</v>
      </c>
      <c r="E327" s="10">
        <f t="shared" si="5"/>
        <v>142</v>
      </c>
      <c r="F327" s="4"/>
    </row>
    <row r="328" ht="12.75" customHeight="1">
      <c r="A328" s="11" t="s">
        <v>650</v>
      </c>
      <c r="B328" s="6" t="s">
        <v>651</v>
      </c>
      <c r="C328" s="7">
        <v>48.0</v>
      </c>
      <c r="D328" s="10">
        <v>77.0</v>
      </c>
      <c r="E328" s="10">
        <f t="shared" si="5"/>
        <v>154</v>
      </c>
      <c r="F328" s="4"/>
    </row>
    <row r="329" ht="12.75" customHeight="1">
      <c r="A329" s="11" t="s">
        <v>652</v>
      </c>
      <c r="B329" s="6" t="s">
        <v>653</v>
      </c>
      <c r="C329" s="7">
        <v>48.0</v>
      </c>
      <c r="D329" s="10">
        <v>108.5</v>
      </c>
      <c r="E329" s="10">
        <f t="shared" si="5"/>
        <v>217</v>
      </c>
      <c r="F329" s="4"/>
    </row>
    <row r="330" ht="12.75" customHeight="1">
      <c r="A330" s="15" t="s">
        <v>654</v>
      </c>
      <c r="B330" s="20" t="s">
        <v>655</v>
      </c>
      <c r="C330" s="21">
        <v>36.0</v>
      </c>
      <c r="D330" s="10">
        <v>134.0</v>
      </c>
      <c r="E330" s="10">
        <f t="shared" si="5"/>
        <v>268</v>
      </c>
      <c r="F330" s="4"/>
    </row>
    <row r="331" ht="12.75" customHeight="1">
      <c r="A331" s="11" t="s">
        <v>656</v>
      </c>
      <c r="B331" s="6" t="s">
        <v>657</v>
      </c>
      <c r="C331" s="7">
        <v>144.0</v>
      </c>
      <c r="D331" s="10">
        <v>31.0</v>
      </c>
      <c r="E331" s="10">
        <f t="shared" si="5"/>
        <v>62</v>
      </c>
      <c r="F331" s="4"/>
    </row>
    <row r="332" ht="12.75" customHeight="1">
      <c r="A332" s="11" t="s">
        <v>658</v>
      </c>
      <c r="B332" s="6" t="s">
        <v>659</v>
      </c>
      <c r="C332" s="7">
        <v>72.0</v>
      </c>
      <c r="D332" s="10">
        <v>52.0</v>
      </c>
      <c r="E332" s="10">
        <f t="shared" si="5"/>
        <v>104</v>
      </c>
      <c r="F332" s="4"/>
    </row>
    <row r="333" ht="12.75" customHeight="1">
      <c r="A333" s="11" t="s">
        <v>660</v>
      </c>
      <c r="B333" s="6" t="s">
        <v>661</v>
      </c>
      <c r="C333" s="7">
        <v>72.0</v>
      </c>
      <c r="D333" s="10">
        <v>71.0</v>
      </c>
      <c r="E333" s="10">
        <f t="shared" si="5"/>
        <v>142</v>
      </c>
      <c r="F333" s="4"/>
    </row>
    <row r="334" ht="12.75" customHeight="1">
      <c r="A334" s="15" t="s">
        <v>662</v>
      </c>
      <c r="B334" s="20" t="s">
        <v>663</v>
      </c>
      <c r="C334" s="21">
        <v>48.0</v>
      </c>
      <c r="D334" s="10">
        <v>77.0</v>
      </c>
      <c r="E334" s="10">
        <f t="shared" si="5"/>
        <v>154</v>
      </c>
      <c r="F334" s="4"/>
    </row>
    <row r="335" ht="12.75" customHeight="1">
      <c r="A335" s="11" t="s">
        <v>664</v>
      </c>
      <c r="B335" s="6" t="s">
        <v>665</v>
      </c>
      <c r="C335" s="7">
        <v>48.0</v>
      </c>
      <c r="D335" s="10">
        <v>108.5</v>
      </c>
      <c r="E335" s="10">
        <f t="shared" si="5"/>
        <v>217</v>
      </c>
      <c r="F335" s="4"/>
    </row>
    <row r="336" ht="12.75" customHeight="1">
      <c r="A336" s="11" t="s">
        <v>666</v>
      </c>
      <c r="B336" s="20" t="s">
        <v>667</v>
      </c>
      <c r="C336" s="21">
        <v>36.0</v>
      </c>
      <c r="D336" s="10">
        <v>134.0</v>
      </c>
      <c r="E336" s="10">
        <f t="shared" si="5"/>
        <v>268</v>
      </c>
      <c r="F336" s="4"/>
    </row>
    <row r="337" ht="12.75" customHeight="1">
      <c r="A337" s="11" t="s">
        <v>668</v>
      </c>
      <c r="B337" s="6" t="s">
        <v>669</v>
      </c>
      <c r="C337" s="7">
        <v>144.0</v>
      </c>
      <c r="D337" s="10">
        <v>31.0</v>
      </c>
      <c r="E337" s="10">
        <f t="shared" si="5"/>
        <v>62</v>
      </c>
      <c r="F337" s="4"/>
    </row>
    <row r="338" ht="12.75" customHeight="1">
      <c r="A338" s="11" t="s">
        <v>670</v>
      </c>
      <c r="B338" s="6" t="s">
        <v>671</v>
      </c>
      <c r="C338" s="7">
        <v>72.0</v>
      </c>
      <c r="D338" s="10">
        <v>52.0</v>
      </c>
      <c r="E338" s="10">
        <f t="shared" si="5"/>
        <v>104</v>
      </c>
      <c r="F338" s="4"/>
    </row>
    <row r="339" ht="12.75" customHeight="1">
      <c r="A339" s="11" t="s">
        <v>672</v>
      </c>
      <c r="B339" s="6" t="s">
        <v>673</v>
      </c>
      <c r="C339" s="7">
        <v>72.0</v>
      </c>
      <c r="D339" s="10">
        <v>71.0</v>
      </c>
      <c r="E339" s="10">
        <f t="shared" si="5"/>
        <v>142</v>
      </c>
      <c r="F339" s="4"/>
    </row>
    <row r="340" ht="12.75" customHeight="1">
      <c r="A340" s="11" t="s">
        <v>674</v>
      </c>
      <c r="B340" s="6" t="s">
        <v>675</v>
      </c>
      <c r="C340" s="7">
        <v>48.0</v>
      </c>
      <c r="D340" s="10">
        <v>77.0</v>
      </c>
      <c r="E340" s="10">
        <f t="shared" si="5"/>
        <v>154</v>
      </c>
      <c r="F340" s="4"/>
    </row>
    <row r="341" ht="12.75" customHeight="1">
      <c r="A341" s="11" t="s">
        <v>676</v>
      </c>
      <c r="B341" s="6" t="s">
        <v>677</v>
      </c>
      <c r="C341" s="7">
        <v>48.0</v>
      </c>
      <c r="D341" s="10">
        <v>108.5</v>
      </c>
      <c r="E341" s="10">
        <f t="shared" si="5"/>
        <v>217</v>
      </c>
      <c r="F341" s="4"/>
    </row>
    <row r="342" ht="12.75" customHeight="1">
      <c r="A342" s="15" t="s">
        <v>678</v>
      </c>
      <c r="B342" s="20" t="s">
        <v>679</v>
      </c>
      <c r="C342" s="21">
        <v>36.0</v>
      </c>
      <c r="D342" s="10">
        <v>134.0</v>
      </c>
      <c r="E342" s="10">
        <f t="shared" si="5"/>
        <v>268</v>
      </c>
      <c r="F342" s="4"/>
    </row>
    <row r="343" ht="12.75" customHeight="1">
      <c r="A343" s="11" t="s">
        <v>680</v>
      </c>
      <c r="B343" s="6" t="s">
        <v>681</v>
      </c>
      <c r="C343" s="7">
        <v>144.0</v>
      </c>
      <c r="D343" s="10">
        <v>31.0</v>
      </c>
      <c r="E343" s="10">
        <f t="shared" si="5"/>
        <v>62</v>
      </c>
      <c r="F343" s="4"/>
    </row>
    <row r="344" ht="12.75" customHeight="1">
      <c r="A344" s="11" t="s">
        <v>682</v>
      </c>
      <c r="B344" s="6" t="s">
        <v>683</v>
      </c>
      <c r="C344" s="7">
        <v>72.0</v>
      </c>
      <c r="D344" s="10">
        <v>52.0</v>
      </c>
      <c r="E344" s="10">
        <f t="shared" si="5"/>
        <v>104</v>
      </c>
      <c r="F344" s="4"/>
    </row>
    <row r="345" ht="12.75" customHeight="1">
      <c r="A345" s="11" t="s">
        <v>684</v>
      </c>
      <c r="B345" s="6" t="s">
        <v>685</v>
      </c>
      <c r="C345" s="7">
        <v>72.0</v>
      </c>
      <c r="D345" s="10">
        <v>71.0</v>
      </c>
      <c r="E345" s="10">
        <f t="shared" si="5"/>
        <v>142</v>
      </c>
      <c r="F345" s="4"/>
    </row>
    <row r="346" ht="12.75" customHeight="1">
      <c r="A346" s="11" t="s">
        <v>686</v>
      </c>
      <c r="B346" s="6" t="s">
        <v>687</v>
      </c>
      <c r="C346" s="7">
        <v>48.0</v>
      </c>
      <c r="D346" s="10">
        <v>77.0</v>
      </c>
      <c r="E346" s="10">
        <f t="shared" si="5"/>
        <v>154</v>
      </c>
      <c r="F346" s="4"/>
    </row>
    <row r="347" ht="12.75" customHeight="1">
      <c r="A347" s="11" t="s">
        <v>688</v>
      </c>
      <c r="B347" s="6" t="s">
        <v>689</v>
      </c>
      <c r="C347" s="7">
        <v>48.0</v>
      </c>
      <c r="D347" s="10">
        <v>108.5</v>
      </c>
      <c r="E347" s="10">
        <f t="shared" si="5"/>
        <v>217</v>
      </c>
      <c r="F347" s="4"/>
    </row>
    <row r="348" ht="12.75" customHeight="1">
      <c r="A348" s="11" t="s">
        <v>690</v>
      </c>
      <c r="B348" s="20" t="s">
        <v>691</v>
      </c>
      <c r="C348" s="21">
        <v>36.0</v>
      </c>
      <c r="D348" s="10">
        <v>134.0</v>
      </c>
      <c r="E348" s="10">
        <f t="shared" si="5"/>
        <v>268</v>
      </c>
      <c r="F348" s="4"/>
    </row>
    <row r="349" ht="12.75" customHeight="1">
      <c r="A349" s="11" t="s">
        <v>692</v>
      </c>
      <c r="B349" s="6" t="s">
        <v>693</v>
      </c>
      <c r="C349" s="7">
        <v>144.0</v>
      </c>
      <c r="D349" s="10">
        <v>31.0</v>
      </c>
      <c r="E349" s="10">
        <f t="shared" si="5"/>
        <v>62</v>
      </c>
      <c r="F349" s="4"/>
    </row>
    <row r="350" ht="12.75" customHeight="1">
      <c r="A350" s="11" t="s">
        <v>694</v>
      </c>
      <c r="B350" s="6" t="s">
        <v>695</v>
      </c>
      <c r="C350" s="7">
        <v>72.0</v>
      </c>
      <c r="D350" s="10">
        <v>52.0</v>
      </c>
      <c r="E350" s="10">
        <f t="shared" si="5"/>
        <v>104</v>
      </c>
      <c r="F350" s="4"/>
    </row>
    <row r="351" ht="12.75" customHeight="1">
      <c r="A351" s="11" t="s">
        <v>696</v>
      </c>
      <c r="B351" s="6" t="s">
        <v>697</v>
      </c>
      <c r="C351" s="7">
        <v>72.0</v>
      </c>
      <c r="D351" s="10">
        <v>71.0</v>
      </c>
      <c r="E351" s="10">
        <f t="shared" si="5"/>
        <v>142</v>
      </c>
      <c r="F351" s="4"/>
    </row>
    <row r="352" ht="12.75" customHeight="1">
      <c r="A352" s="11" t="s">
        <v>698</v>
      </c>
      <c r="B352" s="6" t="s">
        <v>699</v>
      </c>
      <c r="C352" s="7">
        <v>48.0</v>
      </c>
      <c r="D352" s="10">
        <v>77.0</v>
      </c>
      <c r="E352" s="10">
        <f t="shared" si="5"/>
        <v>154</v>
      </c>
      <c r="F352" s="4"/>
    </row>
    <row r="353" ht="12.75" customHeight="1">
      <c r="A353" s="11" t="s">
        <v>700</v>
      </c>
      <c r="B353" s="6" t="s">
        <v>701</v>
      </c>
      <c r="C353" s="7">
        <v>48.0</v>
      </c>
      <c r="D353" s="10">
        <v>108.5</v>
      </c>
      <c r="E353" s="10">
        <f t="shared" si="5"/>
        <v>217</v>
      </c>
      <c r="F353" s="4"/>
    </row>
    <row r="354" ht="12.75" customHeight="1">
      <c r="A354" s="15" t="s">
        <v>702</v>
      </c>
      <c r="B354" s="20" t="s">
        <v>703</v>
      </c>
      <c r="C354" s="21">
        <v>36.0</v>
      </c>
      <c r="D354" s="10">
        <v>134.0</v>
      </c>
      <c r="E354" s="10">
        <f t="shared" si="5"/>
        <v>268</v>
      </c>
      <c r="F354" s="4"/>
    </row>
    <row r="355" ht="12.75" customHeight="1">
      <c r="A355" s="11" t="s">
        <v>704</v>
      </c>
      <c r="B355" s="20" t="s">
        <v>705</v>
      </c>
      <c r="C355" s="7">
        <v>72.0</v>
      </c>
      <c r="D355" s="8">
        <v>96.0</v>
      </c>
      <c r="E355" s="10">
        <f t="shared" si="5"/>
        <v>192</v>
      </c>
      <c r="F355" s="4"/>
      <c r="G355" s="22"/>
      <c r="H355" s="22"/>
      <c r="I355" s="22"/>
    </row>
    <row r="356" ht="12.75" customHeight="1">
      <c r="A356" s="11" t="s">
        <v>706</v>
      </c>
      <c r="B356" s="20" t="s">
        <v>707</v>
      </c>
      <c r="C356" s="7">
        <v>48.0</v>
      </c>
      <c r="D356" s="8">
        <v>160.0</v>
      </c>
      <c r="E356" s="10">
        <f t="shared" si="5"/>
        <v>320</v>
      </c>
      <c r="F356" s="4"/>
      <c r="G356" s="22"/>
      <c r="H356" s="22"/>
      <c r="I356" s="22"/>
    </row>
    <row r="357" ht="12.75" customHeight="1">
      <c r="A357" s="11" t="s">
        <v>708</v>
      </c>
      <c r="B357" s="20" t="s">
        <v>709</v>
      </c>
      <c r="C357" s="7">
        <v>36.0</v>
      </c>
      <c r="D357" s="8">
        <v>202.0</v>
      </c>
      <c r="E357" s="10">
        <f t="shared" si="5"/>
        <v>404</v>
      </c>
      <c r="F357" s="4"/>
      <c r="G357" s="22"/>
      <c r="H357" s="22"/>
      <c r="I357" s="22"/>
    </row>
    <row r="358" ht="12.75" customHeight="1">
      <c r="A358" s="11" t="s">
        <v>710</v>
      </c>
      <c r="B358" s="20" t="s">
        <v>711</v>
      </c>
      <c r="C358" s="7">
        <v>36.0</v>
      </c>
      <c r="D358" s="8">
        <v>138.0</v>
      </c>
      <c r="E358" s="10">
        <f t="shared" si="5"/>
        <v>276</v>
      </c>
      <c r="F358" s="4"/>
      <c r="G358" s="22"/>
      <c r="H358" s="22"/>
      <c r="I358" s="22"/>
    </row>
    <row r="359" ht="12.75" customHeight="1">
      <c r="A359" s="11" t="s">
        <v>712</v>
      </c>
      <c r="B359" s="20" t="s">
        <v>713</v>
      </c>
      <c r="C359" s="7">
        <v>36.0</v>
      </c>
      <c r="D359" s="8">
        <v>207.0</v>
      </c>
      <c r="E359" s="10">
        <f t="shared" si="5"/>
        <v>414</v>
      </c>
      <c r="F359" s="4"/>
      <c r="G359" s="22"/>
      <c r="H359" s="22"/>
      <c r="I359" s="22"/>
    </row>
    <row r="360" ht="12.75" customHeight="1">
      <c r="A360" s="11" t="s">
        <v>714</v>
      </c>
      <c r="B360" s="20" t="s">
        <v>715</v>
      </c>
      <c r="C360" s="7">
        <v>144.0</v>
      </c>
      <c r="D360" s="8">
        <v>39.0</v>
      </c>
      <c r="E360" s="10">
        <f t="shared" si="5"/>
        <v>78</v>
      </c>
      <c r="F360" s="4"/>
      <c r="G360" s="22"/>
      <c r="H360" s="22"/>
      <c r="I360" s="22"/>
    </row>
    <row r="361" ht="12.75" customHeight="1">
      <c r="A361" s="11" t="s">
        <v>716</v>
      </c>
      <c r="B361" s="20" t="s">
        <v>717</v>
      </c>
      <c r="C361" s="7">
        <v>144.0</v>
      </c>
      <c r="D361" s="8">
        <v>53.0</v>
      </c>
      <c r="E361" s="10">
        <f t="shared" si="5"/>
        <v>106</v>
      </c>
      <c r="F361" s="4"/>
      <c r="G361" s="22"/>
      <c r="H361" s="22"/>
      <c r="I361" s="22"/>
    </row>
    <row r="362" ht="12.75" customHeight="1">
      <c r="A362" s="11" t="s">
        <v>718</v>
      </c>
      <c r="B362" s="20" t="s">
        <v>719</v>
      </c>
      <c r="C362" s="7">
        <v>48.0</v>
      </c>
      <c r="D362" s="8">
        <v>78.0</v>
      </c>
      <c r="E362" s="10">
        <f t="shared" si="5"/>
        <v>156</v>
      </c>
      <c r="F362" s="4"/>
      <c r="G362" s="22"/>
      <c r="H362" s="22"/>
      <c r="I362" s="22"/>
    </row>
    <row r="363" ht="12.75" customHeight="1">
      <c r="A363" s="11" t="s">
        <v>720</v>
      </c>
      <c r="B363" s="20" t="s">
        <v>721</v>
      </c>
      <c r="C363" s="7">
        <v>36.0</v>
      </c>
      <c r="D363" s="8">
        <v>103.0</v>
      </c>
      <c r="E363" s="10">
        <f t="shared" si="5"/>
        <v>206</v>
      </c>
      <c r="F363" s="4"/>
      <c r="G363" s="22"/>
      <c r="H363" s="22"/>
      <c r="I363" s="22"/>
    </row>
    <row r="364" ht="12.75" customHeight="1">
      <c r="A364" s="11" t="s">
        <v>722</v>
      </c>
      <c r="B364" s="20" t="s">
        <v>723</v>
      </c>
      <c r="C364" s="7">
        <v>36.0</v>
      </c>
      <c r="D364" s="8">
        <v>160.0</v>
      </c>
      <c r="E364" s="10">
        <f t="shared" si="5"/>
        <v>320</v>
      </c>
      <c r="F364" s="4"/>
      <c r="G364" s="22"/>
      <c r="H364" s="22"/>
      <c r="I364" s="22"/>
    </row>
    <row r="365" ht="12.75" customHeight="1">
      <c r="A365" s="11" t="s">
        <v>724</v>
      </c>
      <c r="B365" s="20" t="s">
        <v>725</v>
      </c>
      <c r="C365" s="7">
        <v>24.0</v>
      </c>
      <c r="D365" s="8">
        <v>210.0</v>
      </c>
      <c r="E365" s="10">
        <f t="shared" si="5"/>
        <v>420</v>
      </c>
      <c r="F365" s="4"/>
      <c r="G365" s="22"/>
      <c r="H365" s="22"/>
      <c r="I365" s="22"/>
    </row>
    <row r="366" ht="12.75" customHeight="1">
      <c r="A366" s="11" t="s">
        <v>726</v>
      </c>
      <c r="B366" s="20" t="s">
        <v>727</v>
      </c>
      <c r="C366" s="7">
        <v>48.0</v>
      </c>
      <c r="D366" s="8">
        <v>55.0</v>
      </c>
      <c r="E366" s="10">
        <f t="shared" si="5"/>
        <v>110</v>
      </c>
      <c r="F366" s="4"/>
      <c r="G366" s="22"/>
      <c r="H366" s="22"/>
      <c r="I366" s="22"/>
    </row>
    <row r="367" ht="12.75" customHeight="1">
      <c r="A367" s="11" t="s">
        <v>728</v>
      </c>
      <c r="B367" s="20" t="s">
        <v>729</v>
      </c>
      <c r="C367" s="7">
        <v>48.0</v>
      </c>
      <c r="D367" s="8">
        <v>67.0</v>
      </c>
      <c r="E367" s="10">
        <f t="shared" si="5"/>
        <v>134</v>
      </c>
      <c r="F367" s="4"/>
      <c r="G367" s="22"/>
      <c r="H367" s="22"/>
      <c r="I367" s="22"/>
    </row>
    <row r="368" ht="12.75" customHeight="1">
      <c r="A368" s="11" t="s">
        <v>730</v>
      </c>
      <c r="B368" s="20" t="s">
        <v>731</v>
      </c>
      <c r="C368" s="7">
        <v>36.0</v>
      </c>
      <c r="D368" s="8">
        <v>89.0</v>
      </c>
      <c r="E368" s="10">
        <f t="shared" si="5"/>
        <v>178</v>
      </c>
      <c r="F368" s="4"/>
      <c r="G368" s="22"/>
      <c r="H368" s="22"/>
      <c r="I368" s="22"/>
    </row>
    <row r="369" ht="12.75" customHeight="1">
      <c r="A369" s="11" t="s">
        <v>732</v>
      </c>
      <c r="B369" s="20" t="s">
        <v>733</v>
      </c>
      <c r="C369" s="7">
        <v>24.0</v>
      </c>
      <c r="D369" s="8">
        <v>126.0</v>
      </c>
      <c r="E369" s="10">
        <f t="shared" si="5"/>
        <v>252</v>
      </c>
      <c r="F369" s="4"/>
      <c r="G369" s="22"/>
      <c r="H369" s="22"/>
      <c r="I369" s="22"/>
    </row>
    <row r="370" ht="12.75" customHeight="1">
      <c r="A370" s="11" t="s">
        <v>734</v>
      </c>
      <c r="B370" s="20" t="s">
        <v>735</v>
      </c>
      <c r="C370" s="7">
        <v>72.0</v>
      </c>
      <c r="D370" s="8">
        <v>95.0</v>
      </c>
      <c r="E370" s="10">
        <f t="shared" si="5"/>
        <v>190</v>
      </c>
      <c r="F370" s="4"/>
      <c r="G370" s="22"/>
      <c r="H370" s="22"/>
      <c r="I370" s="22"/>
    </row>
    <row r="371" ht="12.75" customHeight="1">
      <c r="A371" s="11" t="s">
        <v>736</v>
      </c>
      <c r="B371" s="20" t="s">
        <v>737</v>
      </c>
      <c r="C371" s="13">
        <v>12.0</v>
      </c>
      <c r="D371" s="14">
        <v>185.0</v>
      </c>
      <c r="E371" s="10">
        <f t="shared" ref="E371:E374" si="6">D371*1.4</f>
        <v>259</v>
      </c>
      <c r="F371" s="4"/>
    </row>
    <row r="372" ht="12.75" customHeight="1">
      <c r="A372" s="11" t="s">
        <v>738</v>
      </c>
      <c r="B372" s="20" t="s">
        <v>739</v>
      </c>
      <c r="C372" s="13">
        <v>12.0</v>
      </c>
      <c r="D372" s="14">
        <v>185.0</v>
      </c>
      <c r="E372" s="10">
        <f t="shared" si="6"/>
        <v>259</v>
      </c>
      <c r="F372" s="4"/>
    </row>
    <row r="373" ht="12.75" customHeight="1">
      <c r="A373" s="11" t="s">
        <v>740</v>
      </c>
      <c r="B373" s="20" t="s">
        <v>741</v>
      </c>
      <c r="C373" s="13">
        <v>4.0</v>
      </c>
      <c r="D373" s="14">
        <v>397.0</v>
      </c>
      <c r="E373" s="10">
        <f t="shared" si="6"/>
        <v>555.8</v>
      </c>
      <c r="F373" s="4"/>
    </row>
    <row r="374" ht="12.75" customHeight="1">
      <c r="A374" s="11" t="s">
        <v>742</v>
      </c>
      <c r="B374" s="20" t="s">
        <v>743</v>
      </c>
      <c r="C374" s="13">
        <v>4.0</v>
      </c>
      <c r="D374" s="14">
        <v>397.0</v>
      </c>
      <c r="E374" s="10">
        <f t="shared" si="6"/>
        <v>555.8</v>
      </c>
      <c r="F374" s="4"/>
    </row>
    <row r="375" ht="12.75" customHeight="1">
      <c r="A375" s="19" t="s">
        <v>744</v>
      </c>
      <c r="B375" s="20" t="s">
        <v>745</v>
      </c>
      <c r="C375" s="21">
        <v>1.0</v>
      </c>
      <c r="D375" s="10">
        <v>370.0</v>
      </c>
      <c r="E375" s="15"/>
      <c r="F375" s="4"/>
    </row>
    <row r="376" ht="12.75" customHeight="1">
      <c r="A376" s="19" t="s">
        <v>746</v>
      </c>
      <c r="B376" s="20" t="s">
        <v>747</v>
      </c>
      <c r="C376" s="21">
        <v>120.0</v>
      </c>
      <c r="D376" s="10">
        <v>213.5</v>
      </c>
      <c r="E376" s="10">
        <f t="shared" ref="E376:E377" si="7">D376*1.5</f>
        <v>320.25</v>
      </c>
      <c r="F376" s="4"/>
    </row>
    <row r="377" ht="12.75" customHeight="1">
      <c r="A377" s="19" t="s">
        <v>748</v>
      </c>
      <c r="B377" s="20" t="s">
        <v>749</v>
      </c>
      <c r="C377" s="21">
        <v>100.0</v>
      </c>
      <c r="D377" s="10">
        <v>308.0</v>
      </c>
      <c r="E377" s="10">
        <f t="shared" si="7"/>
        <v>462</v>
      </c>
      <c r="F377" s="4"/>
    </row>
    <row r="378" ht="12.75" customHeight="1">
      <c r="A378" s="19" t="s">
        <v>750</v>
      </c>
      <c r="B378" s="24" t="s">
        <v>751</v>
      </c>
      <c r="C378" s="21">
        <v>23.0</v>
      </c>
      <c r="D378" s="10">
        <v>1350.0</v>
      </c>
      <c r="E378" s="10">
        <f>D378*1.3</f>
        <v>1755</v>
      </c>
      <c r="F378" s="4"/>
    </row>
    <row r="379" ht="12.75" customHeight="1">
      <c r="A379" s="19" t="s">
        <v>752</v>
      </c>
      <c r="B379" s="20" t="s">
        <v>753</v>
      </c>
      <c r="C379" s="21">
        <v>6.0</v>
      </c>
      <c r="D379" s="10">
        <v>289.0</v>
      </c>
      <c r="E379" s="10">
        <f t="shared" ref="E379:E407" si="8">D379*1.4</f>
        <v>404.6</v>
      </c>
      <c r="F379" s="4"/>
    </row>
    <row r="380" ht="12.75" customHeight="1">
      <c r="A380" s="19" t="s">
        <v>754</v>
      </c>
      <c r="B380" s="20" t="s">
        <v>755</v>
      </c>
      <c r="C380" s="21">
        <v>6.0</v>
      </c>
      <c r="D380" s="10">
        <v>289.0</v>
      </c>
      <c r="E380" s="10">
        <f t="shared" si="8"/>
        <v>404.6</v>
      </c>
      <c r="F380" s="4"/>
    </row>
    <row r="381" ht="13.5" customHeight="1">
      <c r="A381" s="19" t="s">
        <v>756</v>
      </c>
      <c r="B381" s="20" t="s">
        <v>757</v>
      </c>
      <c r="C381" s="21">
        <v>6.0</v>
      </c>
      <c r="D381" s="10">
        <v>289.0</v>
      </c>
      <c r="E381" s="10">
        <f t="shared" si="8"/>
        <v>404.6</v>
      </c>
      <c r="F381" s="4"/>
    </row>
    <row r="382" ht="12.75" customHeight="1">
      <c r="A382" s="19" t="s">
        <v>758</v>
      </c>
      <c r="B382" s="20" t="s">
        <v>759</v>
      </c>
      <c r="C382" s="21">
        <v>6.0</v>
      </c>
      <c r="D382" s="10">
        <v>299.0</v>
      </c>
      <c r="E382" s="10">
        <f t="shared" si="8"/>
        <v>418.6</v>
      </c>
      <c r="F382" s="4"/>
    </row>
    <row r="383" ht="12.75" customHeight="1">
      <c r="A383" s="19" t="s">
        <v>760</v>
      </c>
      <c r="B383" s="20" t="s">
        <v>761</v>
      </c>
      <c r="C383" s="21">
        <v>6.0</v>
      </c>
      <c r="D383" s="10">
        <v>539.0</v>
      </c>
      <c r="E383" s="10">
        <f t="shared" si="8"/>
        <v>754.6</v>
      </c>
      <c r="F383" s="4"/>
    </row>
    <row r="384" ht="12.75" customHeight="1">
      <c r="A384" s="19" t="s">
        <v>762</v>
      </c>
      <c r="B384" s="20" t="s">
        <v>763</v>
      </c>
      <c r="C384" s="21">
        <v>6.0</v>
      </c>
      <c r="D384" s="10">
        <v>539.0</v>
      </c>
      <c r="E384" s="10">
        <f t="shared" si="8"/>
        <v>754.6</v>
      </c>
      <c r="F384" s="4"/>
    </row>
    <row r="385" ht="12.75" customHeight="1">
      <c r="A385" s="19" t="s">
        <v>764</v>
      </c>
      <c r="B385" s="20" t="s">
        <v>765</v>
      </c>
      <c r="C385" s="21">
        <v>6.0</v>
      </c>
      <c r="D385" s="10">
        <v>539.0</v>
      </c>
      <c r="E385" s="10">
        <f t="shared" si="8"/>
        <v>754.6</v>
      </c>
      <c r="F385" s="4"/>
      <c r="G385" s="22"/>
      <c r="H385" s="22"/>
      <c r="I385" s="22"/>
      <c r="J385" s="22"/>
      <c r="K385" s="22"/>
      <c r="L385" s="22"/>
      <c r="M385" s="22"/>
    </row>
    <row r="386" ht="12.75" customHeight="1">
      <c r="A386" s="19" t="s">
        <v>766</v>
      </c>
      <c r="B386" s="20" t="s">
        <v>767</v>
      </c>
      <c r="C386" s="21">
        <v>5.0</v>
      </c>
      <c r="D386" s="10">
        <v>959.0</v>
      </c>
      <c r="E386" s="10">
        <f t="shared" si="8"/>
        <v>1342.6</v>
      </c>
      <c r="F386" s="4"/>
    </row>
    <row r="387" ht="12.75" customHeight="1">
      <c r="A387" s="19" t="s">
        <v>768</v>
      </c>
      <c r="B387" s="20" t="s">
        <v>769</v>
      </c>
      <c r="C387" s="21">
        <v>4.0</v>
      </c>
      <c r="D387" s="10">
        <v>1449.0</v>
      </c>
      <c r="E387" s="10">
        <f t="shared" si="8"/>
        <v>2028.6</v>
      </c>
      <c r="F387" s="4"/>
    </row>
    <row r="388" ht="12.75" customHeight="1">
      <c r="A388" s="19" t="s">
        <v>770</v>
      </c>
      <c r="B388" s="20" t="s">
        <v>771</v>
      </c>
      <c r="C388" s="21">
        <v>3.0</v>
      </c>
      <c r="D388" s="10">
        <v>2999.0</v>
      </c>
      <c r="E388" s="10">
        <f t="shared" si="8"/>
        <v>4198.6</v>
      </c>
      <c r="F388" s="4"/>
    </row>
    <row r="389" ht="12.75" customHeight="1">
      <c r="A389" s="19" t="s">
        <v>772</v>
      </c>
      <c r="B389" s="24" t="s">
        <v>773</v>
      </c>
      <c r="C389" s="21">
        <v>1.0</v>
      </c>
      <c r="D389" s="10">
        <v>361.0</v>
      </c>
      <c r="E389" s="10">
        <f t="shared" si="8"/>
        <v>505.4</v>
      </c>
      <c r="F389" s="4"/>
    </row>
    <row r="390" ht="12.75" customHeight="1">
      <c r="A390" s="19" t="s">
        <v>774</v>
      </c>
      <c r="B390" s="24" t="s">
        <v>775</v>
      </c>
      <c r="C390" s="21">
        <v>1.0</v>
      </c>
      <c r="D390" s="10">
        <v>618.0</v>
      </c>
      <c r="E390" s="10">
        <f t="shared" si="8"/>
        <v>865.2</v>
      </c>
      <c r="F390" s="4"/>
    </row>
    <row r="391" ht="12.75" customHeight="1">
      <c r="A391" s="19" t="s">
        <v>776</v>
      </c>
      <c r="B391" s="24" t="s">
        <v>777</v>
      </c>
      <c r="C391" s="21">
        <v>1.0</v>
      </c>
      <c r="D391" s="10">
        <v>693.0</v>
      </c>
      <c r="E391" s="10">
        <f t="shared" si="8"/>
        <v>970.2</v>
      </c>
      <c r="F391" s="4"/>
    </row>
    <row r="392" ht="12.75" customHeight="1">
      <c r="A392" s="19" t="s">
        <v>778</v>
      </c>
      <c r="B392" s="24" t="s">
        <v>779</v>
      </c>
      <c r="C392" s="21">
        <v>1.0</v>
      </c>
      <c r="D392" s="10">
        <v>693.0</v>
      </c>
      <c r="E392" s="10">
        <f t="shared" si="8"/>
        <v>970.2</v>
      </c>
      <c r="F392" s="4"/>
    </row>
    <row r="393" ht="12.75" customHeight="1">
      <c r="A393" s="19" t="s">
        <v>780</v>
      </c>
      <c r="B393" s="24" t="s">
        <v>781</v>
      </c>
      <c r="C393" s="21">
        <v>1.0</v>
      </c>
      <c r="D393" s="10">
        <v>1010.0</v>
      </c>
      <c r="E393" s="10">
        <f t="shared" si="8"/>
        <v>1414</v>
      </c>
      <c r="F393" s="4"/>
    </row>
    <row r="394" ht="12.75" customHeight="1">
      <c r="A394" s="19" t="s">
        <v>782</v>
      </c>
      <c r="B394" s="24" t="s">
        <v>783</v>
      </c>
      <c r="C394" s="21">
        <v>1.0</v>
      </c>
      <c r="D394" s="10">
        <v>1745.0</v>
      </c>
      <c r="E394" s="10">
        <f t="shared" si="8"/>
        <v>2443</v>
      </c>
      <c r="F394" s="4"/>
    </row>
    <row r="395" ht="12.75" customHeight="1">
      <c r="A395" s="19" t="s">
        <v>784</v>
      </c>
      <c r="B395" s="24" t="s">
        <v>785</v>
      </c>
      <c r="C395" s="21">
        <v>1.0</v>
      </c>
      <c r="D395" s="10">
        <v>2299.0</v>
      </c>
      <c r="E395" s="10">
        <f t="shared" si="8"/>
        <v>3218.6</v>
      </c>
      <c r="F395" s="4"/>
    </row>
    <row r="396" ht="12.75" customHeight="1">
      <c r="A396" s="19" t="s">
        <v>786</v>
      </c>
      <c r="B396" s="24" t="s">
        <v>787</v>
      </c>
      <c r="C396" s="21">
        <v>1.0</v>
      </c>
      <c r="D396" s="10">
        <v>2999.0</v>
      </c>
      <c r="E396" s="10">
        <f t="shared" si="8"/>
        <v>4198.6</v>
      </c>
      <c r="F396" s="4"/>
    </row>
    <row r="397" ht="12.75" customHeight="1">
      <c r="A397" s="19" t="s">
        <v>788</v>
      </c>
      <c r="B397" s="24" t="s">
        <v>789</v>
      </c>
      <c r="C397" s="21">
        <v>1.0</v>
      </c>
      <c r="D397" s="10">
        <v>5455.0</v>
      </c>
      <c r="E397" s="10">
        <f t="shared" si="8"/>
        <v>7637</v>
      </c>
      <c r="F397" s="4"/>
    </row>
    <row r="398" ht="12.75" customHeight="1">
      <c r="A398" s="19" t="s">
        <v>790</v>
      </c>
      <c r="B398" s="24" t="s">
        <v>791</v>
      </c>
      <c r="C398" s="21">
        <v>1.0</v>
      </c>
      <c r="D398" s="10">
        <v>300.0</v>
      </c>
      <c r="E398" s="10">
        <f t="shared" si="8"/>
        <v>420</v>
      </c>
      <c r="F398" s="4"/>
    </row>
    <row r="399" ht="12.75" customHeight="1">
      <c r="A399" s="19" t="s">
        <v>792</v>
      </c>
      <c r="B399" s="24" t="s">
        <v>793</v>
      </c>
      <c r="C399" s="21">
        <v>1.0</v>
      </c>
      <c r="D399" s="10">
        <v>753.0</v>
      </c>
      <c r="E399" s="10">
        <f t="shared" si="8"/>
        <v>1054.2</v>
      </c>
      <c r="F399" s="4"/>
    </row>
    <row r="400" ht="12.75" customHeight="1">
      <c r="A400" s="19" t="s">
        <v>794</v>
      </c>
      <c r="B400" s="24" t="s">
        <v>795</v>
      </c>
      <c r="C400" s="21">
        <v>1.0</v>
      </c>
      <c r="D400" s="10">
        <v>930.0</v>
      </c>
      <c r="E400" s="10">
        <f t="shared" si="8"/>
        <v>1302</v>
      </c>
      <c r="F400" s="4"/>
    </row>
    <row r="401" ht="12.75" customHeight="1">
      <c r="A401" s="19" t="s">
        <v>796</v>
      </c>
      <c r="B401" s="24" t="s">
        <v>797</v>
      </c>
      <c r="C401" s="21">
        <v>1.0</v>
      </c>
      <c r="D401" s="10">
        <v>1308.0</v>
      </c>
      <c r="E401" s="10">
        <f t="shared" si="8"/>
        <v>1831.2</v>
      </c>
      <c r="F401" s="4"/>
    </row>
    <row r="402" ht="12.75" customHeight="1">
      <c r="A402" s="19" t="s">
        <v>798</v>
      </c>
      <c r="B402" s="24" t="s">
        <v>799</v>
      </c>
      <c r="C402" s="21">
        <v>1.0</v>
      </c>
      <c r="D402" s="10">
        <v>1770.0</v>
      </c>
      <c r="E402" s="10">
        <f t="shared" si="8"/>
        <v>2478</v>
      </c>
      <c r="F402" s="4"/>
    </row>
    <row r="403" ht="12.75" customHeight="1">
      <c r="A403" s="19" t="s">
        <v>800</v>
      </c>
      <c r="B403" s="24" t="s">
        <v>801</v>
      </c>
      <c r="C403" s="21">
        <v>1.0</v>
      </c>
      <c r="D403" s="10">
        <v>1185.0</v>
      </c>
      <c r="E403" s="10">
        <f t="shared" si="8"/>
        <v>1659</v>
      </c>
      <c r="F403" s="4"/>
    </row>
    <row r="404" ht="12.75" customHeight="1">
      <c r="A404" s="19" t="s">
        <v>802</v>
      </c>
      <c r="B404" s="24" t="s">
        <v>803</v>
      </c>
      <c r="C404" s="21">
        <v>1.0</v>
      </c>
      <c r="D404" s="10">
        <v>3065.0</v>
      </c>
      <c r="E404" s="10">
        <f t="shared" si="8"/>
        <v>4291</v>
      </c>
      <c r="F404" s="4"/>
    </row>
    <row r="405" ht="12.75" customHeight="1">
      <c r="A405" s="19" t="s">
        <v>804</v>
      </c>
      <c r="B405" s="24" t="s">
        <v>805</v>
      </c>
      <c r="C405" s="21">
        <v>1.0</v>
      </c>
      <c r="D405" s="10">
        <v>1999.0</v>
      </c>
      <c r="E405" s="10">
        <f t="shared" si="8"/>
        <v>2798.6</v>
      </c>
      <c r="F405" s="4"/>
    </row>
    <row r="406" ht="12.75" customHeight="1">
      <c r="A406" s="19" t="s">
        <v>806</v>
      </c>
      <c r="B406" s="24" t="s">
        <v>807</v>
      </c>
      <c r="C406" s="21">
        <v>1.0</v>
      </c>
      <c r="D406" s="10">
        <v>1349.0</v>
      </c>
      <c r="E406" s="10">
        <f t="shared" si="8"/>
        <v>1888.6</v>
      </c>
      <c r="F406" s="4"/>
    </row>
    <row r="407" ht="12.75" customHeight="1">
      <c r="A407" s="19" t="s">
        <v>808</v>
      </c>
      <c r="B407" s="24" t="s">
        <v>809</v>
      </c>
      <c r="C407" s="21">
        <v>1.0</v>
      </c>
      <c r="D407" s="10">
        <v>3688.0</v>
      </c>
      <c r="E407" s="10">
        <f t="shared" si="8"/>
        <v>5163.2</v>
      </c>
      <c r="F407" s="4"/>
      <c r="G407" s="25"/>
    </row>
    <row r="408" ht="12.75" customHeight="1">
      <c r="A408" s="19" t="s">
        <v>810</v>
      </c>
      <c r="B408" s="24" t="s">
        <v>811</v>
      </c>
      <c r="C408" s="21">
        <v>1.0</v>
      </c>
      <c r="D408" s="10">
        <v>75.0</v>
      </c>
      <c r="E408" s="10">
        <f t="shared" ref="E408:E411" si="9">D408*1.5</f>
        <v>112.5</v>
      </c>
      <c r="F408" s="4"/>
    </row>
    <row r="409" ht="12.75" customHeight="1">
      <c r="A409" s="19" t="s">
        <v>812</v>
      </c>
      <c r="B409" s="26" t="s">
        <v>813</v>
      </c>
      <c r="C409" s="7">
        <v>1.0</v>
      </c>
      <c r="D409" s="8">
        <v>86.0</v>
      </c>
      <c r="E409" s="10">
        <f t="shared" si="9"/>
        <v>129</v>
      </c>
      <c r="F409" s="4"/>
    </row>
    <row r="410" ht="12.75" customHeight="1">
      <c r="A410" s="19" t="s">
        <v>814</v>
      </c>
      <c r="B410" s="26" t="s">
        <v>815</v>
      </c>
      <c r="C410" s="7">
        <v>1.0</v>
      </c>
      <c r="D410" s="8">
        <v>98.0</v>
      </c>
      <c r="E410" s="10">
        <f t="shared" si="9"/>
        <v>147</v>
      </c>
      <c r="F410" s="4"/>
    </row>
    <row r="411" ht="12.75" customHeight="1">
      <c r="A411" s="19" t="s">
        <v>816</v>
      </c>
      <c r="B411" s="26" t="s">
        <v>817</v>
      </c>
      <c r="C411" s="7">
        <v>1.0</v>
      </c>
      <c r="D411" s="8">
        <v>115.0</v>
      </c>
      <c r="E411" s="10">
        <f t="shared" si="9"/>
        <v>172.5</v>
      </c>
      <c r="F411" s="4"/>
    </row>
    <row r="412" ht="13.5" customHeight="1">
      <c r="A412" s="5" t="s">
        <v>818</v>
      </c>
      <c r="B412" s="24" t="s">
        <v>819</v>
      </c>
      <c r="C412" s="7">
        <v>6.0</v>
      </c>
      <c r="D412" s="8">
        <v>235.0</v>
      </c>
      <c r="E412" s="10">
        <f t="shared" ref="E412:E424" si="10">D412*1.8</f>
        <v>423</v>
      </c>
      <c r="F412" s="4"/>
    </row>
    <row r="413" ht="13.5" customHeight="1">
      <c r="A413" s="19" t="s">
        <v>820</v>
      </c>
      <c r="B413" s="24" t="s">
        <v>821</v>
      </c>
      <c r="C413" s="21">
        <v>6.0</v>
      </c>
      <c r="D413" s="10">
        <v>335.0</v>
      </c>
      <c r="E413" s="10">
        <f t="shared" si="10"/>
        <v>603</v>
      </c>
      <c r="F413" s="4"/>
    </row>
    <row r="414" ht="13.5" customHeight="1">
      <c r="A414" s="5" t="s">
        <v>822</v>
      </c>
      <c r="B414" s="24" t="s">
        <v>823</v>
      </c>
      <c r="C414" s="7">
        <v>6.0</v>
      </c>
      <c r="D414" s="8">
        <v>410.0</v>
      </c>
      <c r="E414" s="10">
        <f t="shared" si="10"/>
        <v>738</v>
      </c>
      <c r="F414" s="4"/>
    </row>
    <row r="415" ht="13.5" customHeight="1">
      <c r="A415" s="5" t="s">
        <v>824</v>
      </c>
      <c r="B415" s="26" t="s">
        <v>825</v>
      </c>
      <c r="C415" s="7">
        <v>1.0</v>
      </c>
      <c r="D415" s="8">
        <v>80.0</v>
      </c>
      <c r="E415" s="10">
        <f t="shared" si="10"/>
        <v>144</v>
      </c>
      <c r="F415" s="4"/>
    </row>
    <row r="416" ht="13.5" customHeight="1">
      <c r="A416" s="5" t="s">
        <v>826</v>
      </c>
      <c r="B416" s="26" t="s">
        <v>827</v>
      </c>
      <c r="C416" s="7">
        <v>1.0</v>
      </c>
      <c r="D416" s="8">
        <v>114.0</v>
      </c>
      <c r="E416" s="10">
        <f t="shared" si="10"/>
        <v>205.2</v>
      </c>
      <c r="F416" s="4"/>
    </row>
    <row r="417" ht="13.5" customHeight="1">
      <c r="A417" s="5" t="s">
        <v>828</v>
      </c>
      <c r="B417" s="26" t="s">
        <v>829</v>
      </c>
      <c r="C417" s="7">
        <v>1.0</v>
      </c>
      <c r="D417" s="8">
        <v>130.0</v>
      </c>
      <c r="E417" s="10">
        <f t="shared" si="10"/>
        <v>234</v>
      </c>
      <c r="F417" s="4"/>
    </row>
    <row r="418" ht="13.5" customHeight="1">
      <c r="A418" s="5" t="s">
        <v>830</v>
      </c>
      <c r="B418" s="24" t="s">
        <v>831</v>
      </c>
      <c r="C418" s="7">
        <v>48.0</v>
      </c>
      <c r="D418" s="8">
        <v>41.0</v>
      </c>
      <c r="E418" s="10">
        <f t="shared" si="10"/>
        <v>73.8</v>
      </c>
      <c r="F418" s="4"/>
    </row>
    <row r="419" ht="13.5" customHeight="1">
      <c r="A419" s="5" t="s">
        <v>832</v>
      </c>
      <c r="B419" s="24" t="s">
        <v>833</v>
      </c>
      <c r="C419" s="7">
        <v>24.0</v>
      </c>
      <c r="D419" s="8">
        <v>75.0</v>
      </c>
      <c r="E419" s="10">
        <f t="shared" si="10"/>
        <v>135</v>
      </c>
      <c r="F419" s="4"/>
    </row>
    <row r="420" ht="13.5" customHeight="1">
      <c r="A420" s="5" t="s">
        <v>834</v>
      </c>
      <c r="B420" s="24" t="s">
        <v>835</v>
      </c>
      <c r="C420" s="7">
        <v>6.0</v>
      </c>
      <c r="D420" s="8">
        <v>217.0</v>
      </c>
      <c r="E420" s="10">
        <f t="shared" si="10"/>
        <v>390.6</v>
      </c>
      <c r="F420" s="4"/>
    </row>
    <row r="421" ht="13.5" customHeight="1">
      <c r="A421" s="5" t="s">
        <v>836</v>
      </c>
      <c r="B421" s="24" t="s">
        <v>837</v>
      </c>
      <c r="C421" s="7">
        <v>4.0</v>
      </c>
      <c r="D421" s="8">
        <v>399.0</v>
      </c>
      <c r="E421" s="10">
        <f t="shared" si="10"/>
        <v>718.2</v>
      </c>
      <c r="F421" s="4"/>
    </row>
    <row r="422" ht="13.5" customHeight="1">
      <c r="A422" s="5" t="s">
        <v>838</v>
      </c>
      <c r="B422" s="24" t="s">
        <v>839</v>
      </c>
      <c r="C422" s="7">
        <v>16.0</v>
      </c>
      <c r="D422" s="8">
        <v>112.0</v>
      </c>
      <c r="E422" s="10">
        <f t="shared" si="10"/>
        <v>201.6</v>
      </c>
      <c r="F422" s="4"/>
    </row>
    <row r="423" ht="13.5" customHeight="1">
      <c r="A423" s="5" t="s">
        <v>840</v>
      </c>
      <c r="B423" s="24" t="s">
        <v>841</v>
      </c>
      <c r="C423" s="7">
        <v>4.0</v>
      </c>
      <c r="D423" s="8">
        <v>345.0</v>
      </c>
      <c r="E423" s="10">
        <f t="shared" si="10"/>
        <v>621</v>
      </c>
      <c r="F423" s="4"/>
    </row>
    <row r="424" ht="13.5" customHeight="1">
      <c r="A424" s="5" t="s">
        <v>842</v>
      </c>
      <c r="B424" s="24" t="s">
        <v>843</v>
      </c>
      <c r="C424" s="7">
        <v>2.0</v>
      </c>
      <c r="D424" s="8">
        <v>650.0</v>
      </c>
      <c r="E424" s="10">
        <f t="shared" si="10"/>
        <v>1170</v>
      </c>
      <c r="F424" s="4"/>
    </row>
    <row r="425" ht="13.5" customHeight="1">
      <c r="A425" s="5" t="s">
        <v>844</v>
      </c>
      <c r="B425" s="6" t="s">
        <v>845</v>
      </c>
      <c r="C425" s="7">
        <v>30.0</v>
      </c>
      <c r="D425" s="8">
        <v>30.0</v>
      </c>
      <c r="E425" s="10">
        <f t="shared" ref="E425:E428" si="11">D425*2</f>
        <v>60</v>
      </c>
      <c r="F425" s="4"/>
    </row>
    <row r="426" ht="13.5" customHeight="1">
      <c r="A426" s="5" t="s">
        <v>846</v>
      </c>
      <c r="B426" s="6" t="s">
        <v>847</v>
      </c>
      <c r="C426" s="7">
        <v>60.0</v>
      </c>
      <c r="D426" s="8">
        <v>25.0</v>
      </c>
      <c r="E426" s="10">
        <f t="shared" si="11"/>
        <v>50</v>
      </c>
      <c r="F426" s="4"/>
    </row>
    <row r="427" ht="13.5" customHeight="1">
      <c r="A427" s="5" t="s">
        <v>848</v>
      </c>
      <c r="B427" s="6" t="s">
        <v>849</v>
      </c>
      <c r="C427" s="7">
        <v>48.0</v>
      </c>
      <c r="D427" s="8">
        <v>48.0</v>
      </c>
      <c r="E427" s="10">
        <f t="shared" si="11"/>
        <v>96</v>
      </c>
      <c r="F427" s="4"/>
    </row>
    <row r="428" ht="14.25" customHeight="1">
      <c r="A428" s="5" t="s">
        <v>850</v>
      </c>
      <c r="B428" s="6" t="s">
        <v>851</v>
      </c>
      <c r="C428" s="7">
        <v>12.0</v>
      </c>
      <c r="D428" s="8">
        <v>150.0</v>
      </c>
      <c r="E428" s="10">
        <f t="shared" si="11"/>
        <v>300</v>
      </c>
      <c r="F428" s="4"/>
    </row>
    <row r="429" ht="12.75" customHeight="1">
      <c r="A429" s="19" t="s">
        <v>852</v>
      </c>
      <c r="B429" s="27" t="s">
        <v>853</v>
      </c>
      <c r="C429" s="21">
        <v>1.0</v>
      </c>
      <c r="D429" s="10">
        <v>483.0</v>
      </c>
      <c r="E429" s="10">
        <f t="shared" ref="E429:E440" si="12">D429*1.5</f>
        <v>724.5</v>
      </c>
      <c r="F429" s="4"/>
    </row>
    <row r="430" ht="12.75" customHeight="1">
      <c r="A430" s="19" t="s">
        <v>854</v>
      </c>
      <c r="B430" s="27" t="s">
        <v>855</v>
      </c>
      <c r="C430" s="21">
        <v>1.0</v>
      </c>
      <c r="D430" s="10">
        <v>699.0</v>
      </c>
      <c r="E430" s="10">
        <f t="shared" si="12"/>
        <v>1048.5</v>
      </c>
      <c r="F430" s="4"/>
    </row>
    <row r="431" ht="12.75" customHeight="1">
      <c r="A431" s="19" t="s">
        <v>856</v>
      </c>
      <c r="B431" s="27" t="s">
        <v>857</v>
      </c>
      <c r="C431" s="21">
        <v>1.0</v>
      </c>
      <c r="D431" s="10">
        <v>1003.0</v>
      </c>
      <c r="E431" s="10">
        <f t="shared" si="12"/>
        <v>1504.5</v>
      </c>
      <c r="F431" s="4"/>
    </row>
    <row r="432" ht="12.75" customHeight="1">
      <c r="A432" s="19" t="s">
        <v>858</v>
      </c>
      <c r="B432" s="27" t="s">
        <v>859</v>
      </c>
      <c r="C432" s="21">
        <v>1.0</v>
      </c>
      <c r="D432" s="10">
        <v>1405.0</v>
      </c>
      <c r="E432" s="10">
        <f t="shared" si="12"/>
        <v>2107.5</v>
      </c>
      <c r="F432" s="4"/>
    </row>
    <row r="433" ht="12.75" customHeight="1">
      <c r="A433" s="19" t="s">
        <v>860</v>
      </c>
      <c r="B433" s="27" t="s">
        <v>861</v>
      </c>
      <c r="C433" s="21">
        <v>1.0</v>
      </c>
      <c r="D433" s="10">
        <v>1897.0</v>
      </c>
      <c r="E433" s="10">
        <f t="shared" si="12"/>
        <v>2845.5</v>
      </c>
      <c r="F433" s="4"/>
    </row>
    <row r="434" ht="12.75" customHeight="1">
      <c r="A434" s="19" t="s">
        <v>862</v>
      </c>
      <c r="B434" s="27" t="s">
        <v>863</v>
      </c>
      <c r="C434" s="21">
        <v>1.0</v>
      </c>
      <c r="D434" s="10">
        <v>2162.0</v>
      </c>
      <c r="E434" s="10">
        <f t="shared" si="12"/>
        <v>3243</v>
      </c>
      <c r="F434" s="4"/>
    </row>
    <row r="435" ht="12.75" customHeight="1">
      <c r="A435" s="19" t="s">
        <v>864</v>
      </c>
      <c r="B435" s="27" t="s">
        <v>865</v>
      </c>
      <c r="C435" s="21">
        <v>1.0</v>
      </c>
      <c r="D435" s="10">
        <v>483.0</v>
      </c>
      <c r="E435" s="10">
        <f t="shared" si="12"/>
        <v>724.5</v>
      </c>
      <c r="F435" s="4"/>
    </row>
    <row r="436" ht="12.75" customHeight="1">
      <c r="A436" s="19" t="s">
        <v>866</v>
      </c>
      <c r="B436" s="27" t="s">
        <v>867</v>
      </c>
      <c r="C436" s="21">
        <v>1.0</v>
      </c>
      <c r="D436" s="10">
        <v>699.0</v>
      </c>
      <c r="E436" s="10">
        <f t="shared" si="12"/>
        <v>1048.5</v>
      </c>
      <c r="F436" s="4"/>
    </row>
    <row r="437" ht="12.75" customHeight="1">
      <c r="A437" s="19" t="s">
        <v>868</v>
      </c>
      <c r="B437" s="27" t="s">
        <v>869</v>
      </c>
      <c r="C437" s="21">
        <v>1.0</v>
      </c>
      <c r="D437" s="10">
        <v>1003.0</v>
      </c>
      <c r="E437" s="10">
        <f t="shared" si="12"/>
        <v>1504.5</v>
      </c>
      <c r="F437" s="4"/>
    </row>
    <row r="438" ht="12.75" customHeight="1">
      <c r="A438" s="19" t="s">
        <v>870</v>
      </c>
      <c r="B438" s="27" t="s">
        <v>871</v>
      </c>
      <c r="C438" s="21">
        <v>1.0</v>
      </c>
      <c r="D438" s="10">
        <v>1405.0</v>
      </c>
      <c r="E438" s="10">
        <f t="shared" si="12"/>
        <v>2107.5</v>
      </c>
      <c r="F438" s="4"/>
    </row>
    <row r="439" ht="12.75" customHeight="1">
      <c r="A439" s="19" t="s">
        <v>872</v>
      </c>
      <c r="B439" s="27" t="s">
        <v>873</v>
      </c>
      <c r="C439" s="21">
        <v>1.0</v>
      </c>
      <c r="D439" s="10">
        <v>1897.0</v>
      </c>
      <c r="E439" s="10">
        <f t="shared" si="12"/>
        <v>2845.5</v>
      </c>
      <c r="F439" s="4"/>
    </row>
    <row r="440" ht="12.75" customHeight="1">
      <c r="A440" s="19" t="s">
        <v>874</v>
      </c>
      <c r="B440" s="27" t="s">
        <v>875</v>
      </c>
      <c r="C440" s="21">
        <v>1.0</v>
      </c>
      <c r="D440" s="10">
        <v>2162.0</v>
      </c>
      <c r="E440" s="10">
        <f t="shared" si="12"/>
        <v>3243</v>
      </c>
      <c r="F440" s="4"/>
    </row>
    <row r="441" ht="12.75" customHeight="1">
      <c r="A441" s="5" t="s">
        <v>876</v>
      </c>
      <c r="B441" s="20" t="s">
        <v>877</v>
      </c>
      <c r="C441" s="7">
        <v>1.0</v>
      </c>
      <c r="D441" s="8">
        <v>2890.0</v>
      </c>
      <c r="E441" s="10">
        <f t="shared" ref="E441:E449" si="13">D441/0.65</f>
        <v>4446.153846</v>
      </c>
      <c r="F441" s="4"/>
    </row>
    <row r="442" ht="12.75" customHeight="1">
      <c r="A442" s="5" t="s">
        <v>878</v>
      </c>
      <c r="B442" s="20" t="s">
        <v>879</v>
      </c>
      <c r="C442" s="7">
        <v>1.0</v>
      </c>
      <c r="D442" s="8">
        <v>4290.0</v>
      </c>
      <c r="E442" s="10">
        <f t="shared" si="13"/>
        <v>6600</v>
      </c>
      <c r="F442" s="4"/>
    </row>
    <row r="443" ht="12.75" customHeight="1">
      <c r="A443" s="5" t="s">
        <v>880</v>
      </c>
      <c r="B443" s="20" t="s">
        <v>881</v>
      </c>
      <c r="C443" s="7">
        <v>1.0</v>
      </c>
      <c r="D443" s="8">
        <v>1890.0</v>
      </c>
      <c r="E443" s="10">
        <f t="shared" si="13"/>
        <v>2907.692308</v>
      </c>
      <c r="F443" s="4"/>
    </row>
    <row r="444" ht="12.75" customHeight="1">
      <c r="A444" s="5" t="s">
        <v>882</v>
      </c>
      <c r="B444" s="20" t="s">
        <v>883</v>
      </c>
      <c r="C444" s="7">
        <v>1.0</v>
      </c>
      <c r="D444" s="8">
        <v>1630.0</v>
      </c>
      <c r="E444" s="10">
        <f t="shared" si="13"/>
        <v>2507.692308</v>
      </c>
      <c r="F444" s="4"/>
    </row>
    <row r="445" ht="12.75" customHeight="1">
      <c r="A445" s="5" t="s">
        <v>884</v>
      </c>
      <c r="B445" s="20" t="s">
        <v>885</v>
      </c>
      <c r="C445" s="7">
        <v>1.0</v>
      </c>
      <c r="D445" s="8">
        <v>684.0</v>
      </c>
      <c r="E445" s="10">
        <f t="shared" si="13"/>
        <v>1052.307692</v>
      </c>
      <c r="F445" s="4"/>
    </row>
    <row r="446" ht="12.75" customHeight="1">
      <c r="A446" s="5" t="s">
        <v>886</v>
      </c>
      <c r="B446" s="20" t="s">
        <v>887</v>
      </c>
      <c r="C446" s="7">
        <v>1.0</v>
      </c>
      <c r="D446" s="8">
        <v>835.0</v>
      </c>
      <c r="E446" s="10">
        <f t="shared" si="13"/>
        <v>1284.615385</v>
      </c>
      <c r="F446" s="4"/>
    </row>
    <row r="447" ht="12.75" customHeight="1">
      <c r="A447" s="5" t="s">
        <v>888</v>
      </c>
      <c r="B447" s="20" t="s">
        <v>889</v>
      </c>
      <c r="C447" s="7">
        <v>1.0</v>
      </c>
      <c r="D447" s="8">
        <v>983.0</v>
      </c>
      <c r="E447" s="10">
        <f t="shared" si="13"/>
        <v>1512.307692</v>
      </c>
      <c r="F447" s="4"/>
    </row>
    <row r="448" ht="12.75" customHeight="1">
      <c r="A448" s="5" t="s">
        <v>890</v>
      </c>
      <c r="B448" s="20" t="s">
        <v>891</v>
      </c>
      <c r="C448" s="7">
        <v>1.0</v>
      </c>
      <c r="D448" s="8">
        <v>1108.0</v>
      </c>
      <c r="E448" s="10">
        <f t="shared" si="13"/>
        <v>1704.615385</v>
      </c>
      <c r="F448" s="4"/>
    </row>
    <row r="449" ht="12.75" customHeight="1">
      <c r="A449" s="19" t="s">
        <v>892</v>
      </c>
      <c r="B449" s="20" t="s">
        <v>893</v>
      </c>
      <c r="C449" s="21">
        <v>1.0</v>
      </c>
      <c r="D449" s="10">
        <v>1256.0</v>
      </c>
      <c r="E449" s="10">
        <f t="shared" si="13"/>
        <v>1932.307692</v>
      </c>
      <c r="F449" s="4"/>
    </row>
    <row r="450" ht="13.5" customHeight="1">
      <c r="A450" s="19" t="s">
        <v>894</v>
      </c>
      <c r="B450" s="24" t="s">
        <v>895</v>
      </c>
      <c r="C450" s="21">
        <v>100.0</v>
      </c>
      <c r="D450" s="10">
        <v>54.0</v>
      </c>
      <c r="E450" s="10">
        <f t="shared" ref="E450:E452" si="14">D450*1.6</f>
        <v>86.4</v>
      </c>
      <c r="F450" s="4"/>
    </row>
    <row r="451" ht="13.5" customHeight="1">
      <c r="A451" s="19" t="s">
        <v>896</v>
      </c>
      <c r="B451" s="24" t="s">
        <v>897</v>
      </c>
      <c r="C451" s="21">
        <v>100.0</v>
      </c>
      <c r="D451" s="10">
        <v>84.0</v>
      </c>
      <c r="E451" s="10">
        <f t="shared" si="14"/>
        <v>134.4</v>
      </c>
      <c r="F451" s="4"/>
    </row>
    <row r="452" ht="13.5" customHeight="1">
      <c r="A452" s="19" t="s">
        <v>898</v>
      </c>
      <c r="B452" s="24" t="s">
        <v>899</v>
      </c>
      <c r="C452" s="21">
        <v>100.0</v>
      </c>
      <c r="D452" s="10">
        <v>94.0</v>
      </c>
      <c r="E452" s="10">
        <f t="shared" si="14"/>
        <v>150.4</v>
      </c>
      <c r="F452" s="4"/>
    </row>
    <row r="453" ht="12.75" customHeight="1">
      <c r="A453" s="28" t="s">
        <v>900</v>
      </c>
      <c r="B453" s="24" t="s">
        <v>901</v>
      </c>
      <c r="C453" s="7">
        <v>120.0</v>
      </c>
      <c r="D453" s="10">
        <v>24.0</v>
      </c>
      <c r="E453" s="10">
        <f t="shared" ref="E453:E558" si="15">D453*2</f>
        <v>48</v>
      </c>
      <c r="F453" s="4"/>
    </row>
    <row r="454" ht="12.75" customHeight="1">
      <c r="A454" s="28" t="s">
        <v>902</v>
      </c>
      <c r="B454" s="24" t="s">
        <v>903</v>
      </c>
      <c r="C454" s="7">
        <v>120.0</v>
      </c>
      <c r="D454" s="10">
        <v>30.0</v>
      </c>
      <c r="E454" s="10">
        <f t="shared" si="15"/>
        <v>60</v>
      </c>
      <c r="F454" s="4"/>
    </row>
    <row r="455" ht="12.75" customHeight="1">
      <c r="A455" s="28" t="s">
        <v>904</v>
      </c>
      <c r="B455" s="24" t="s">
        <v>905</v>
      </c>
      <c r="C455" s="7">
        <v>120.0</v>
      </c>
      <c r="D455" s="10">
        <v>36.0</v>
      </c>
      <c r="E455" s="10">
        <f t="shared" si="15"/>
        <v>72</v>
      </c>
      <c r="F455" s="4"/>
    </row>
    <row r="456" ht="12.75" customHeight="1">
      <c r="A456" s="28" t="s">
        <v>906</v>
      </c>
      <c r="B456" s="24" t="s">
        <v>907</v>
      </c>
      <c r="C456" s="7">
        <v>120.0</v>
      </c>
      <c r="D456" s="10">
        <v>27.0</v>
      </c>
      <c r="E456" s="10">
        <f t="shared" si="15"/>
        <v>54</v>
      </c>
      <c r="F456" s="4"/>
      <c r="G456" s="22"/>
    </row>
    <row r="457" ht="12.75" customHeight="1">
      <c r="A457" s="28" t="s">
        <v>908</v>
      </c>
      <c r="B457" s="24" t="s">
        <v>909</v>
      </c>
      <c r="C457" s="7">
        <v>120.0</v>
      </c>
      <c r="D457" s="10">
        <v>34.0</v>
      </c>
      <c r="E457" s="10">
        <f t="shared" si="15"/>
        <v>68</v>
      </c>
      <c r="F457" s="4"/>
      <c r="G457" s="22"/>
    </row>
    <row r="458" ht="12.75" customHeight="1">
      <c r="A458" s="28" t="s">
        <v>910</v>
      </c>
      <c r="B458" s="24" t="s">
        <v>911</v>
      </c>
      <c r="C458" s="7">
        <v>120.0</v>
      </c>
      <c r="D458" s="10">
        <v>40.0</v>
      </c>
      <c r="E458" s="10">
        <f t="shared" si="15"/>
        <v>80</v>
      </c>
      <c r="F458" s="4"/>
      <c r="G458" s="22"/>
    </row>
    <row r="459" ht="12.75" customHeight="1">
      <c r="A459" s="28" t="s">
        <v>912</v>
      </c>
      <c r="B459" s="20" t="s">
        <v>913</v>
      </c>
      <c r="C459" s="7">
        <v>48.0</v>
      </c>
      <c r="D459" s="10">
        <v>97.0</v>
      </c>
      <c r="E459" s="10">
        <f t="shared" si="15"/>
        <v>194</v>
      </c>
      <c r="F459" s="4"/>
      <c r="G459" s="22"/>
    </row>
    <row r="460" ht="12.75" customHeight="1">
      <c r="A460" s="28" t="s">
        <v>914</v>
      </c>
      <c r="B460" s="20" t="s">
        <v>915</v>
      </c>
      <c r="C460" s="7">
        <v>48.0</v>
      </c>
      <c r="D460" s="10">
        <v>87.5</v>
      </c>
      <c r="E460" s="10">
        <f t="shared" si="15"/>
        <v>175</v>
      </c>
      <c r="F460" s="4"/>
    </row>
    <row r="461" ht="12.75" customHeight="1">
      <c r="A461" s="28" t="s">
        <v>916</v>
      </c>
      <c r="B461" s="20" t="s">
        <v>917</v>
      </c>
      <c r="C461" s="7">
        <v>48.0</v>
      </c>
      <c r="D461" s="10">
        <v>110.0</v>
      </c>
      <c r="E461" s="10">
        <f t="shared" si="15"/>
        <v>220</v>
      </c>
      <c r="F461" s="4"/>
    </row>
    <row r="462" ht="12.75" customHeight="1">
      <c r="A462" s="28" t="s">
        <v>918</v>
      </c>
      <c r="B462" s="20" t="s">
        <v>919</v>
      </c>
      <c r="C462" s="7">
        <v>48.0</v>
      </c>
      <c r="D462" s="10">
        <v>106.0</v>
      </c>
      <c r="E462" s="10">
        <f t="shared" si="15"/>
        <v>212</v>
      </c>
      <c r="F462" s="4"/>
    </row>
    <row r="463" ht="12.75" customHeight="1">
      <c r="A463" s="28" t="s">
        <v>920</v>
      </c>
      <c r="B463" s="20" t="s">
        <v>921</v>
      </c>
      <c r="C463" s="7">
        <v>48.0</v>
      </c>
      <c r="D463" s="10">
        <v>106.0</v>
      </c>
      <c r="E463" s="10">
        <f t="shared" si="15"/>
        <v>212</v>
      </c>
      <c r="F463" s="4"/>
    </row>
    <row r="464" ht="12.75" customHeight="1">
      <c r="A464" s="28" t="s">
        <v>922</v>
      </c>
      <c r="B464" s="20" t="s">
        <v>923</v>
      </c>
      <c r="C464" s="7">
        <v>48.0</v>
      </c>
      <c r="D464" s="10">
        <v>95.0</v>
      </c>
      <c r="E464" s="10">
        <f t="shared" si="15"/>
        <v>190</v>
      </c>
      <c r="F464" s="4"/>
    </row>
    <row r="465" ht="12.75" customHeight="1">
      <c r="A465" s="28" t="s">
        <v>924</v>
      </c>
      <c r="B465" s="20" t="s">
        <v>925</v>
      </c>
      <c r="C465" s="7">
        <v>48.0</v>
      </c>
      <c r="D465" s="10">
        <v>158.0</v>
      </c>
      <c r="E465" s="10">
        <f t="shared" si="15"/>
        <v>316</v>
      </c>
      <c r="F465" s="4"/>
    </row>
    <row r="466" ht="12.75" customHeight="1">
      <c r="A466" s="28" t="s">
        <v>926</v>
      </c>
      <c r="B466" s="20" t="s">
        <v>927</v>
      </c>
      <c r="C466" s="7">
        <v>50.0</v>
      </c>
      <c r="D466" s="10">
        <v>97.0</v>
      </c>
      <c r="E466" s="10">
        <f t="shared" si="15"/>
        <v>194</v>
      </c>
      <c r="F466" s="4"/>
    </row>
    <row r="467" ht="12.75" customHeight="1">
      <c r="A467" s="28" t="s">
        <v>928</v>
      </c>
      <c r="B467" s="20" t="s">
        <v>929</v>
      </c>
      <c r="C467" s="7">
        <v>50.0</v>
      </c>
      <c r="D467" s="10">
        <v>144.5</v>
      </c>
      <c r="E467" s="10">
        <f t="shared" si="15"/>
        <v>289</v>
      </c>
      <c r="F467" s="4"/>
    </row>
    <row r="468" ht="12.75" customHeight="1">
      <c r="A468" s="28" t="s">
        <v>930</v>
      </c>
      <c r="B468" s="20" t="s">
        <v>931</v>
      </c>
      <c r="C468" s="7">
        <v>50.0</v>
      </c>
      <c r="D468" s="10">
        <v>163.0</v>
      </c>
      <c r="E468" s="10">
        <f t="shared" si="15"/>
        <v>326</v>
      </c>
      <c r="F468" s="4"/>
    </row>
    <row r="469" ht="12.75" customHeight="1">
      <c r="A469" s="28" t="s">
        <v>932</v>
      </c>
      <c r="B469" s="20" t="s">
        <v>933</v>
      </c>
      <c r="C469" s="7">
        <v>48.0</v>
      </c>
      <c r="D469" s="10">
        <v>89.0</v>
      </c>
      <c r="E469" s="10">
        <f t="shared" si="15"/>
        <v>178</v>
      </c>
      <c r="F469" s="4"/>
    </row>
    <row r="470" ht="12.75" customHeight="1">
      <c r="A470" s="28" t="s">
        <v>934</v>
      </c>
      <c r="B470" s="20" t="s">
        <v>935</v>
      </c>
      <c r="C470" s="7">
        <v>72.0</v>
      </c>
      <c r="D470" s="10">
        <v>83.5</v>
      </c>
      <c r="E470" s="10">
        <f t="shared" si="15"/>
        <v>167</v>
      </c>
      <c r="F470" s="4"/>
    </row>
    <row r="471" ht="12.75" customHeight="1">
      <c r="A471" s="28" t="s">
        <v>936</v>
      </c>
      <c r="B471" s="20" t="s">
        <v>937</v>
      </c>
      <c r="C471" s="7">
        <v>72.0</v>
      </c>
      <c r="D471" s="10">
        <v>71.0</v>
      </c>
      <c r="E471" s="10">
        <f t="shared" si="15"/>
        <v>142</v>
      </c>
      <c r="F471" s="4"/>
    </row>
    <row r="472" ht="12.75" customHeight="1">
      <c r="A472" s="28" t="s">
        <v>938</v>
      </c>
      <c r="B472" s="20" t="s">
        <v>939</v>
      </c>
      <c r="C472" s="7">
        <v>60.0</v>
      </c>
      <c r="D472" s="10">
        <v>76.0</v>
      </c>
      <c r="E472" s="10">
        <f t="shared" si="15"/>
        <v>152</v>
      </c>
      <c r="F472" s="4"/>
    </row>
    <row r="473" ht="12.75" customHeight="1">
      <c r="A473" s="28" t="s">
        <v>940</v>
      </c>
      <c r="B473" s="20" t="s">
        <v>941</v>
      </c>
      <c r="C473" s="7">
        <v>72.0</v>
      </c>
      <c r="D473" s="10">
        <v>70.0</v>
      </c>
      <c r="E473" s="10">
        <f t="shared" si="15"/>
        <v>140</v>
      </c>
      <c r="F473" s="4"/>
    </row>
    <row r="474" ht="12.75" customHeight="1">
      <c r="A474" s="28" t="s">
        <v>942</v>
      </c>
      <c r="B474" s="20" t="s">
        <v>943</v>
      </c>
      <c r="C474" s="7">
        <v>80.0</v>
      </c>
      <c r="D474" s="10">
        <v>53.0</v>
      </c>
      <c r="E474" s="10">
        <f t="shared" si="15"/>
        <v>106</v>
      </c>
      <c r="F474" s="4"/>
    </row>
    <row r="475" ht="12.75" customHeight="1">
      <c r="A475" s="28" t="s">
        <v>944</v>
      </c>
      <c r="B475" s="20" t="s">
        <v>945</v>
      </c>
      <c r="C475" s="7">
        <v>80.0</v>
      </c>
      <c r="D475" s="10">
        <v>47.0</v>
      </c>
      <c r="E475" s="10">
        <f t="shared" si="15"/>
        <v>94</v>
      </c>
      <c r="F475" s="4"/>
    </row>
    <row r="476" ht="12.75" customHeight="1">
      <c r="A476" s="28" t="s">
        <v>946</v>
      </c>
      <c r="B476" s="20" t="s">
        <v>947</v>
      </c>
      <c r="C476" s="7">
        <v>60.0</v>
      </c>
      <c r="D476" s="10">
        <v>107.0</v>
      </c>
      <c r="E476" s="10">
        <f t="shared" si="15"/>
        <v>214</v>
      </c>
      <c r="F476" s="4"/>
    </row>
    <row r="477" ht="12.75" customHeight="1">
      <c r="A477" s="28" t="s">
        <v>948</v>
      </c>
      <c r="B477" s="20" t="s">
        <v>949</v>
      </c>
      <c r="C477" s="7">
        <v>72.0</v>
      </c>
      <c r="D477" s="10">
        <v>83.5</v>
      </c>
      <c r="E477" s="10">
        <f t="shared" si="15"/>
        <v>167</v>
      </c>
      <c r="F477" s="4"/>
    </row>
    <row r="478" ht="12.75" customHeight="1">
      <c r="A478" s="28" t="s">
        <v>950</v>
      </c>
      <c r="B478" s="20" t="s">
        <v>951</v>
      </c>
      <c r="C478" s="7">
        <v>50.0</v>
      </c>
      <c r="D478" s="10">
        <v>91.0</v>
      </c>
      <c r="E478" s="10">
        <f t="shared" si="15"/>
        <v>182</v>
      </c>
      <c r="F478" s="4"/>
    </row>
    <row r="479" ht="12.75" customHeight="1">
      <c r="A479" s="28" t="s">
        <v>952</v>
      </c>
      <c r="B479" s="20" t="s">
        <v>953</v>
      </c>
      <c r="C479" s="7">
        <v>50.0</v>
      </c>
      <c r="D479" s="10">
        <v>84.0</v>
      </c>
      <c r="E479" s="10">
        <f t="shared" si="15"/>
        <v>168</v>
      </c>
      <c r="F479" s="4"/>
    </row>
    <row r="480" ht="12.75" customHeight="1">
      <c r="A480" s="28" t="s">
        <v>954</v>
      </c>
      <c r="B480" s="20" t="s">
        <v>955</v>
      </c>
      <c r="C480" s="7">
        <v>72.0</v>
      </c>
      <c r="D480" s="10">
        <v>117.0</v>
      </c>
      <c r="E480" s="10">
        <f t="shared" si="15"/>
        <v>234</v>
      </c>
      <c r="F480" s="4"/>
    </row>
    <row r="481" ht="13.5" customHeight="1">
      <c r="A481" s="28" t="s">
        <v>956</v>
      </c>
      <c r="B481" s="20" t="s">
        <v>957</v>
      </c>
      <c r="C481" s="7">
        <v>100.0</v>
      </c>
      <c r="D481" s="10">
        <v>200.0</v>
      </c>
      <c r="E481" s="10">
        <f t="shared" si="15"/>
        <v>400</v>
      </c>
      <c r="F481" s="4"/>
    </row>
    <row r="482" ht="12.75" customHeight="1">
      <c r="A482" s="28" t="s">
        <v>958</v>
      </c>
      <c r="B482" s="20" t="s">
        <v>959</v>
      </c>
      <c r="C482" s="7">
        <v>72.0</v>
      </c>
      <c r="D482" s="10">
        <v>113.0</v>
      </c>
      <c r="E482" s="10">
        <f t="shared" si="15"/>
        <v>226</v>
      </c>
      <c r="F482" s="4"/>
    </row>
    <row r="483" ht="12.75" customHeight="1">
      <c r="A483" s="28" t="s">
        <v>960</v>
      </c>
      <c r="B483" s="20" t="s">
        <v>961</v>
      </c>
      <c r="C483" s="7">
        <v>72.0</v>
      </c>
      <c r="D483" s="10">
        <v>163.0</v>
      </c>
      <c r="E483" s="10">
        <f t="shared" si="15"/>
        <v>326</v>
      </c>
      <c r="F483" s="4"/>
    </row>
    <row r="484" ht="12.75" customHeight="1">
      <c r="A484" s="28" t="s">
        <v>962</v>
      </c>
      <c r="B484" s="20" t="s">
        <v>963</v>
      </c>
      <c r="C484" s="7">
        <v>100.0</v>
      </c>
      <c r="D484" s="10">
        <v>163.0</v>
      </c>
      <c r="E484" s="10">
        <f t="shared" si="15"/>
        <v>326</v>
      </c>
      <c r="F484" s="4"/>
    </row>
    <row r="485" ht="12.75" customHeight="1">
      <c r="A485" s="29" t="s">
        <v>964</v>
      </c>
      <c r="B485" s="20" t="s">
        <v>965</v>
      </c>
      <c r="C485" s="21">
        <v>50.0</v>
      </c>
      <c r="D485" s="10">
        <v>98.0</v>
      </c>
      <c r="E485" s="10">
        <f t="shared" si="15"/>
        <v>196</v>
      </c>
      <c r="F485" s="4"/>
    </row>
    <row r="486" ht="12.75" customHeight="1">
      <c r="A486" s="28" t="s">
        <v>966</v>
      </c>
      <c r="B486" s="20" t="s">
        <v>967</v>
      </c>
      <c r="C486" s="7">
        <v>40.0</v>
      </c>
      <c r="D486" s="10">
        <v>113.5</v>
      </c>
      <c r="E486" s="10">
        <f t="shared" si="15"/>
        <v>227</v>
      </c>
      <c r="F486" s="4"/>
    </row>
    <row r="487" ht="12.75" customHeight="1">
      <c r="A487" s="28" t="s">
        <v>968</v>
      </c>
      <c r="B487" s="20" t="s">
        <v>969</v>
      </c>
      <c r="C487" s="7">
        <v>100.0</v>
      </c>
      <c r="D487" s="10">
        <v>114.5</v>
      </c>
      <c r="E487" s="10">
        <f t="shared" si="15"/>
        <v>229</v>
      </c>
      <c r="F487" s="4"/>
    </row>
    <row r="488" ht="12.75" customHeight="1">
      <c r="A488" s="28" t="s">
        <v>970</v>
      </c>
      <c r="B488" s="20" t="s">
        <v>971</v>
      </c>
      <c r="C488" s="7">
        <v>100.0</v>
      </c>
      <c r="D488" s="10">
        <v>137.0</v>
      </c>
      <c r="E488" s="10">
        <f t="shared" si="15"/>
        <v>274</v>
      </c>
      <c r="F488" s="4"/>
    </row>
    <row r="489" ht="12.75" customHeight="1">
      <c r="A489" s="28" t="s">
        <v>972</v>
      </c>
      <c r="B489" s="20" t="s">
        <v>973</v>
      </c>
      <c r="C489" s="7">
        <v>100.0</v>
      </c>
      <c r="D489" s="10">
        <v>107.5</v>
      </c>
      <c r="E489" s="10">
        <f t="shared" si="15"/>
        <v>215</v>
      </c>
      <c r="F489" s="4"/>
    </row>
    <row r="490" ht="12.75" customHeight="1">
      <c r="A490" s="28" t="s">
        <v>974</v>
      </c>
      <c r="B490" s="20" t="s">
        <v>975</v>
      </c>
      <c r="C490" s="7">
        <v>100.0</v>
      </c>
      <c r="D490" s="10">
        <v>114.5</v>
      </c>
      <c r="E490" s="10">
        <f t="shared" si="15"/>
        <v>229</v>
      </c>
      <c r="F490" s="4"/>
    </row>
    <row r="491" ht="12.75" customHeight="1">
      <c r="A491" s="28" t="s">
        <v>976</v>
      </c>
      <c r="B491" s="20" t="s">
        <v>977</v>
      </c>
      <c r="C491" s="7">
        <v>60.0</v>
      </c>
      <c r="D491" s="10">
        <v>147.0</v>
      </c>
      <c r="E491" s="10">
        <f t="shared" si="15"/>
        <v>294</v>
      </c>
      <c r="F491" s="4"/>
    </row>
    <row r="492" ht="12.75" customHeight="1">
      <c r="A492" s="28" t="s">
        <v>978</v>
      </c>
      <c r="B492" s="20" t="s">
        <v>979</v>
      </c>
      <c r="C492" s="7">
        <v>60.0</v>
      </c>
      <c r="D492" s="10">
        <v>61.0</v>
      </c>
      <c r="E492" s="10">
        <f t="shared" si="15"/>
        <v>122</v>
      </c>
      <c r="F492" s="4"/>
    </row>
    <row r="493" ht="12.75" customHeight="1">
      <c r="A493" s="28" t="s">
        <v>980</v>
      </c>
      <c r="B493" s="20" t="s">
        <v>981</v>
      </c>
      <c r="C493" s="7">
        <v>60.0</v>
      </c>
      <c r="D493" s="10">
        <v>65.0</v>
      </c>
      <c r="E493" s="10">
        <f t="shared" si="15"/>
        <v>130</v>
      </c>
      <c r="F493" s="4"/>
    </row>
    <row r="494" ht="12.75" customHeight="1">
      <c r="A494" s="28" t="s">
        <v>982</v>
      </c>
      <c r="B494" s="20" t="s">
        <v>983</v>
      </c>
      <c r="C494" s="7">
        <v>60.0</v>
      </c>
      <c r="D494" s="10">
        <v>63.0</v>
      </c>
      <c r="E494" s="10">
        <f t="shared" si="15"/>
        <v>126</v>
      </c>
      <c r="F494" s="4"/>
    </row>
    <row r="495" ht="12.75" customHeight="1">
      <c r="A495" s="28" t="s">
        <v>984</v>
      </c>
      <c r="B495" s="20" t="s">
        <v>985</v>
      </c>
      <c r="C495" s="7">
        <v>60.0</v>
      </c>
      <c r="D495" s="10">
        <v>68.0</v>
      </c>
      <c r="E495" s="10">
        <f t="shared" si="15"/>
        <v>136</v>
      </c>
      <c r="F495" s="4"/>
    </row>
    <row r="496" ht="12.75" customHeight="1">
      <c r="A496" s="28" t="s">
        <v>986</v>
      </c>
      <c r="B496" s="20" t="s">
        <v>987</v>
      </c>
      <c r="C496" s="7">
        <v>40.0</v>
      </c>
      <c r="D496" s="10">
        <v>170.0</v>
      </c>
      <c r="E496" s="10">
        <f t="shared" si="15"/>
        <v>340</v>
      </c>
      <c r="F496" s="4"/>
    </row>
    <row r="497" ht="12.75" customHeight="1">
      <c r="A497" s="28" t="s">
        <v>988</v>
      </c>
      <c r="B497" s="20" t="s">
        <v>989</v>
      </c>
      <c r="C497" s="7">
        <v>50.0</v>
      </c>
      <c r="D497" s="10">
        <v>172.0</v>
      </c>
      <c r="E497" s="10">
        <f t="shared" si="15"/>
        <v>344</v>
      </c>
      <c r="F497" s="4"/>
    </row>
    <row r="498" ht="12.75" customHeight="1">
      <c r="A498" s="28" t="s">
        <v>990</v>
      </c>
      <c r="B498" s="20" t="s">
        <v>991</v>
      </c>
      <c r="C498" s="7">
        <v>100.0</v>
      </c>
      <c r="D498" s="10">
        <v>179.5</v>
      </c>
      <c r="E498" s="10">
        <f t="shared" si="15"/>
        <v>359</v>
      </c>
      <c r="F498" s="4"/>
    </row>
    <row r="499" ht="12.75" customHeight="1">
      <c r="A499" s="28" t="s">
        <v>992</v>
      </c>
      <c r="B499" s="20" t="s">
        <v>993</v>
      </c>
      <c r="C499" s="7">
        <v>100.0</v>
      </c>
      <c r="D499" s="10">
        <v>103.0</v>
      </c>
      <c r="E499" s="10">
        <f t="shared" si="15"/>
        <v>206</v>
      </c>
      <c r="F499" s="4"/>
    </row>
    <row r="500" ht="12.75" customHeight="1">
      <c r="A500" s="28" t="s">
        <v>994</v>
      </c>
      <c r="B500" s="20" t="s">
        <v>995</v>
      </c>
      <c r="C500" s="7">
        <v>50.0</v>
      </c>
      <c r="D500" s="10">
        <v>184.0</v>
      </c>
      <c r="E500" s="10">
        <f t="shared" si="15"/>
        <v>368</v>
      </c>
      <c r="F500" s="4"/>
    </row>
    <row r="501" ht="12.75" customHeight="1">
      <c r="A501" s="28" t="s">
        <v>996</v>
      </c>
      <c r="B501" s="20" t="s">
        <v>997</v>
      </c>
      <c r="C501" s="7">
        <v>50.0</v>
      </c>
      <c r="D501" s="10">
        <v>199.5</v>
      </c>
      <c r="E501" s="10">
        <f t="shared" si="15"/>
        <v>399</v>
      </c>
      <c r="F501" s="4"/>
    </row>
    <row r="502" ht="12.75" customHeight="1">
      <c r="A502" s="28" t="s">
        <v>998</v>
      </c>
      <c r="B502" s="20" t="s">
        <v>999</v>
      </c>
      <c r="C502" s="7">
        <v>50.0</v>
      </c>
      <c r="D502" s="10">
        <v>75.0</v>
      </c>
      <c r="E502" s="10">
        <f t="shared" si="15"/>
        <v>150</v>
      </c>
      <c r="F502" s="4"/>
    </row>
    <row r="503" ht="12.75" customHeight="1">
      <c r="A503" s="28" t="s">
        <v>1000</v>
      </c>
      <c r="B503" s="20" t="s">
        <v>1001</v>
      </c>
      <c r="C503" s="7">
        <v>50.0</v>
      </c>
      <c r="D503" s="10">
        <v>75.0</v>
      </c>
      <c r="E503" s="10">
        <f t="shared" si="15"/>
        <v>150</v>
      </c>
      <c r="F503" s="4"/>
    </row>
    <row r="504" ht="12.75" customHeight="1">
      <c r="A504" s="19" t="s">
        <v>1002</v>
      </c>
      <c r="B504" s="20" t="s">
        <v>1003</v>
      </c>
      <c r="C504" s="21">
        <v>1.0</v>
      </c>
      <c r="D504" s="10">
        <v>29.0</v>
      </c>
      <c r="E504" s="10">
        <f t="shared" si="15"/>
        <v>58</v>
      </c>
      <c r="F504" s="4"/>
    </row>
    <row r="505" ht="12.75" customHeight="1">
      <c r="A505" s="19" t="s">
        <v>1004</v>
      </c>
      <c r="B505" s="20" t="s">
        <v>1005</v>
      </c>
      <c r="C505" s="21">
        <v>1.0</v>
      </c>
      <c r="D505" s="10">
        <v>34.0</v>
      </c>
      <c r="E505" s="10">
        <f t="shared" si="15"/>
        <v>68</v>
      </c>
      <c r="F505" s="4"/>
    </row>
    <row r="506" ht="12.75" customHeight="1">
      <c r="A506" s="19" t="s">
        <v>1006</v>
      </c>
      <c r="B506" s="20" t="s">
        <v>1007</v>
      </c>
      <c r="C506" s="21">
        <v>1.0</v>
      </c>
      <c r="D506" s="10">
        <v>45.5</v>
      </c>
      <c r="E506" s="10">
        <f t="shared" si="15"/>
        <v>91</v>
      </c>
      <c r="F506" s="4"/>
    </row>
    <row r="507" ht="12.75" customHeight="1">
      <c r="A507" s="19" t="s">
        <v>1008</v>
      </c>
      <c r="B507" s="20" t="s">
        <v>1009</v>
      </c>
      <c r="C507" s="21">
        <v>1.0</v>
      </c>
      <c r="D507" s="10">
        <v>34.0</v>
      </c>
      <c r="E507" s="10">
        <f t="shared" si="15"/>
        <v>68</v>
      </c>
      <c r="F507" s="4"/>
    </row>
    <row r="508" ht="12.75" customHeight="1">
      <c r="A508" s="19" t="s">
        <v>1010</v>
      </c>
      <c r="B508" s="20" t="s">
        <v>1011</v>
      </c>
      <c r="C508" s="21">
        <v>1.0</v>
      </c>
      <c r="D508" s="10">
        <v>51.0</v>
      </c>
      <c r="E508" s="10">
        <f t="shared" si="15"/>
        <v>102</v>
      </c>
      <c r="F508" s="4"/>
    </row>
    <row r="509" ht="12.75" customHeight="1">
      <c r="A509" s="19" t="s">
        <v>1012</v>
      </c>
      <c r="B509" s="20" t="s">
        <v>1013</v>
      </c>
      <c r="C509" s="21">
        <v>1.0</v>
      </c>
      <c r="D509" s="10">
        <v>39.0</v>
      </c>
      <c r="E509" s="10">
        <f t="shared" si="15"/>
        <v>78</v>
      </c>
      <c r="F509" s="4"/>
    </row>
    <row r="510" ht="12.75" customHeight="1">
      <c r="A510" s="19" t="s">
        <v>1014</v>
      </c>
      <c r="B510" s="20" t="s">
        <v>1015</v>
      </c>
      <c r="C510" s="21">
        <v>1.0</v>
      </c>
      <c r="D510" s="10">
        <v>27.0</v>
      </c>
      <c r="E510" s="10">
        <f t="shared" si="15"/>
        <v>54</v>
      </c>
      <c r="F510" s="4"/>
    </row>
    <row r="511" ht="12.75" customHeight="1">
      <c r="A511" s="19" t="s">
        <v>1016</v>
      </c>
      <c r="B511" s="20" t="s">
        <v>1017</v>
      </c>
      <c r="C511" s="21">
        <v>1.0</v>
      </c>
      <c r="D511" s="10">
        <v>29.0</v>
      </c>
      <c r="E511" s="10">
        <f t="shared" si="15"/>
        <v>58</v>
      </c>
      <c r="F511" s="4"/>
    </row>
    <row r="512" ht="12.75" customHeight="1">
      <c r="A512" s="19" t="s">
        <v>1018</v>
      </c>
      <c r="B512" s="20" t="s">
        <v>1019</v>
      </c>
      <c r="C512" s="21">
        <v>1.0</v>
      </c>
      <c r="D512" s="10">
        <v>21.0</v>
      </c>
      <c r="E512" s="10">
        <f t="shared" si="15"/>
        <v>42</v>
      </c>
      <c r="F512" s="4"/>
    </row>
    <row r="513" ht="12.75" customHeight="1">
      <c r="A513" s="19" t="s">
        <v>1020</v>
      </c>
      <c r="B513" s="20" t="s">
        <v>1021</v>
      </c>
      <c r="C513" s="21">
        <v>1.0</v>
      </c>
      <c r="D513" s="10">
        <v>39.0</v>
      </c>
      <c r="E513" s="10">
        <f t="shared" si="15"/>
        <v>78</v>
      </c>
      <c r="F513" s="4"/>
    </row>
    <row r="514" ht="13.5" customHeight="1">
      <c r="A514" s="19" t="s">
        <v>1022</v>
      </c>
      <c r="B514" s="20" t="s">
        <v>1023</v>
      </c>
      <c r="C514" s="21">
        <v>1.0</v>
      </c>
      <c r="D514" s="10">
        <v>26.5</v>
      </c>
      <c r="E514" s="10">
        <f t="shared" si="15"/>
        <v>53</v>
      </c>
      <c r="F514" s="4"/>
    </row>
    <row r="515" ht="12.75" customHeight="1">
      <c r="A515" s="19" t="s">
        <v>1024</v>
      </c>
      <c r="B515" s="20" t="s">
        <v>1025</v>
      </c>
      <c r="C515" s="21">
        <v>1.0</v>
      </c>
      <c r="D515" s="10">
        <v>19.0</v>
      </c>
      <c r="E515" s="10">
        <f t="shared" si="15"/>
        <v>38</v>
      </c>
      <c r="F515" s="4"/>
    </row>
    <row r="516" ht="12.75" customHeight="1">
      <c r="A516" s="19" t="s">
        <v>1026</v>
      </c>
      <c r="B516" s="20" t="s">
        <v>1027</v>
      </c>
      <c r="C516" s="21">
        <v>1.0</v>
      </c>
      <c r="D516" s="10">
        <v>32.0</v>
      </c>
      <c r="E516" s="10">
        <f t="shared" si="15"/>
        <v>64</v>
      </c>
      <c r="F516" s="4"/>
    </row>
    <row r="517" ht="12.75" customHeight="1">
      <c r="A517" s="19" t="s">
        <v>1028</v>
      </c>
      <c r="B517" s="20" t="s">
        <v>1011</v>
      </c>
      <c r="C517" s="21">
        <v>1.0</v>
      </c>
      <c r="D517" s="10">
        <v>24.5</v>
      </c>
      <c r="E517" s="10">
        <f t="shared" si="15"/>
        <v>49</v>
      </c>
      <c r="F517" s="4"/>
    </row>
    <row r="518" ht="12.75" customHeight="1">
      <c r="A518" s="19" t="s">
        <v>1029</v>
      </c>
      <c r="B518" s="20" t="s">
        <v>1030</v>
      </c>
      <c r="C518" s="21">
        <v>1.0</v>
      </c>
      <c r="D518" s="10">
        <v>34.5</v>
      </c>
      <c r="E518" s="10">
        <f t="shared" si="15"/>
        <v>69</v>
      </c>
      <c r="F518" s="4"/>
    </row>
    <row r="519" ht="12.75" customHeight="1">
      <c r="A519" s="19" t="s">
        <v>1031</v>
      </c>
      <c r="B519" s="20" t="s">
        <v>1032</v>
      </c>
      <c r="C519" s="21">
        <v>1.0</v>
      </c>
      <c r="D519" s="10">
        <v>39.0</v>
      </c>
      <c r="E519" s="10">
        <f t="shared" si="15"/>
        <v>78</v>
      </c>
      <c r="F519" s="4"/>
    </row>
    <row r="520" ht="12.75" customHeight="1">
      <c r="A520" s="19" t="s">
        <v>1033</v>
      </c>
      <c r="B520" s="20" t="s">
        <v>1034</v>
      </c>
      <c r="C520" s="21">
        <v>1.0</v>
      </c>
      <c r="D520" s="10">
        <v>43.5</v>
      </c>
      <c r="E520" s="10">
        <f t="shared" si="15"/>
        <v>87</v>
      </c>
      <c r="F520" s="4"/>
    </row>
    <row r="521" ht="12.75" customHeight="1">
      <c r="A521" s="19" t="s">
        <v>1035</v>
      </c>
      <c r="B521" s="20" t="s">
        <v>1036</v>
      </c>
      <c r="C521" s="21">
        <v>1.0</v>
      </c>
      <c r="D521" s="10">
        <v>41.0</v>
      </c>
      <c r="E521" s="10">
        <f t="shared" si="15"/>
        <v>82</v>
      </c>
      <c r="F521" s="4"/>
    </row>
    <row r="522" ht="12.75" customHeight="1">
      <c r="A522" s="19" t="s">
        <v>1037</v>
      </c>
      <c r="B522" s="20" t="s">
        <v>1038</v>
      </c>
      <c r="C522" s="21">
        <v>1.0</v>
      </c>
      <c r="D522" s="10">
        <v>33.0</v>
      </c>
      <c r="E522" s="10">
        <f t="shared" si="15"/>
        <v>66</v>
      </c>
      <c r="F522" s="4"/>
    </row>
    <row r="523" ht="12.75" customHeight="1">
      <c r="A523" s="19" t="s">
        <v>1039</v>
      </c>
      <c r="B523" s="20" t="s">
        <v>1040</v>
      </c>
      <c r="C523" s="21">
        <v>1.0</v>
      </c>
      <c r="D523" s="10">
        <v>46.0</v>
      </c>
      <c r="E523" s="10">
        <f t="shared" si="15"/>
        <v>92</v>
      </c>
      <c r="F523" s="4"/>
    </row>
    <row r="524" ht="12.75" customHeight="1">
      <c r="A524" s="19" t="s">
        <v>1041</v>
      </c>
      <c r="B524" s="20" t="s">
        <v>1042</v>
      </c>
      <c r="C524" s="21">
        <v>1.0</v>
      </c>
      <c r="D524" s="10">
        <v>46.0</v>
      </c>
      <c r="E524" s="10">
        <f t="shared" si="15"/>
        <v>92</v>
      </c>
      <c r="F524" s="4"/>
    </row>
    <row r="525" ht="12.75" customHeight="1">
      <c r="A525" s="19" t="s">
        <v>1043</v>
      </c>
      <c r="B525" s="20" t="s">
        <v>1044</v>
      </c>
      <c r="C525" s="21">
        <v>1.0</v>
      </c>
      <c r="D525" s="10">
        <v>33.0</v>
      </c>
      <c r="E525" s="10">
        <f t="shared" si="15"/>
        <v>66</v>
      </c>
      <c r="F525" s="4"/>
    </row>
    <row r="526" ht="12.75" customHeight="1">
      <c r="A526" s="19" t="s">
        <v>1045</v>
      </c>
      <c r="B526" s="20" t="s">
        <v>1046</v>
      </c>
      <c r="C526" s="21">
        <v>1.0</v>
      </c>
      <c r="D526" s="10">
        <v>231.0</v>
      </c>
      <c r="E526" s="10">
        <f t="shared" si="15"/>
        <v>462</v>
      </c>
      <c r="F526" s="4"/>
    </row>
    <row r="527" ht="12.75" customHeight="1">
      <c r="A527" s="19" t="s">
        <v>1047</v>
      </c>
      <c r="B527" s="20" t="s">
        <v>1048</v>
      </c>
      <c r="C527" s="21">
        <v>1.0</v>
      </c>
      <c r="D527" s="10">
        <v>541.0</v>
      </c>
      <c r="E527" s="10">
        <f t="shared" si="15"/>
        <v>1082</v>
      </c>
      <c r="F527" s="4"/>
    </row>
    <row r="528" ht="12.75" customHeight="1">
      <c r="A528" s="19" t="s">
        <v>1049</v>
      </c>
      <c r="B528" s="20" t="s">
        <v>1050</v>
      </c>
      <c r="C528" s="21">
        <v>1.0</v>
      </c>
      <c r="D528" s="10">
        <v>270.0</v>
      </c>
      <c r="E528" s="10">
        <f t="shared" si="15"/>
        <v>540</v>
      </c>
      <c r="F528" s="4"/>
    </row>
    <row r="529" ht="12.75" customHeight="1">
      <c r="A529" s="19" t="s">
        <v>1051</v>
      </c>
      <c r="B529" s="20" t="s">
        <v>1052</v>
      </c>
      <c r="C529" s="21">
        <v>1.0</v>
      </c>
      <c r="D529" s="10">
        <v>451.0</v>
      </c>
      <c r="E529" s="10">
        <f t="shared" si="15"/>
        <v>902</v>
      </c>
      <c r="F529" s="4"/>
    </row>
    <row r="530" ht="12.75" customHeight="1">
      <c r="A530" s="19" t="s">
        <v>1053</v>
      </c>
      <c r="B530" s="20" t="s">
        <v>1054</v>
      </c>
      <c r="C530" s="21">
        <v>1.0</v>
      </c>
      <c r="D530" s="10">
        <v>478.0</v>
      </c>
      <c r="E530" s="10">
        <f t="shared" si="15"/>
        <v>956</v>
      </c>
      <c r="F530" s="4"/>
    </row>
    <row r="531" ht="12.75" customHeight="1">
      <c r="A531" s="19" t="s">
        <v>1055</v>
      </c>
      <c r="B531" s="20" t="s">
        <v>1056</v>
      </c>
      <c r="C531" s="21">
        <v>1.0</v>
      </c>
      <c r="D531" s="10">
        <v>515.5</v>
      </c>
      <c r="E531" s="10">
        <f t="shared" si="15"/>
        <v>1031</v>
      </c>
      <c r="F531" s="4"/>
    </row>
    <row r="532" ht="12.75" customHeight="1">
      <c r="A532" s="19" t="s">
        <v>1057</v>
      </c>
      <c r="B532" s="20" t="s">
        <v>1058</v>
      </c>
      <c r="C532" s="21">
        <v>1.0</v>
      </c>
      <c r="D532" s="10">
        <v>469.0</v>
      </c>
      <c r="E532" s="10">
        <f t="shared" si="15"/>
        <v>938</v>
      </c>
      <c r="F532" s="4"/>
    </row>
    <row r="533" ht="12.75" customHeight="1">
      <c r="A533" s="19" t="s">
        <v>1059</v>
      </c>
      <c r="B533" s="20" t="s">
        <v>1060</v>
      </c>
      <c r="C533" s="21">
        <v>1.0</v>
      </c>
      <c r="D533" s="10">
        <v>556.0</v>
      </c>
      <c r="E533" s="10">
        <f t="shared" si="15"/>
        <v>1112</v>
      </c>
      <c r="F533" s="4"/>
    </row>
    <row r="534" ht="12.75" customHeight="1">
      <c r="A534" s="19" t="s">
        <v>1061</v>
      </c>
      <c r="B534" s="20" t="s">
        <v>1058</v>
      </c>
      <c r="C534" s="21">
        <v>1.0</v>
      </c>
      <c r="D534" s="10">
        <v>368.5</v>
      </c>
      <c r="E534" s="10">
        <f t="shared" si="15"/>
        <v>737</v>
      </c>
      <c r="F534" s="4"/>
    </row>
    <row r="535" ht="12.75" customHeight="1">
      <c r="A535" s="19" t="s">
        <v>1062</v>
      </c>
      <c r="B535" s="20" t="s">
        <v>1063</v>
      </c>
      <c r="C535" s="21">
        <v>1.0</v>
      </c>
      <c r="D535" s="10">
        <v>343.0</v>
      </c>
      <c r="E535" s="10">
        <f t="shared" si="15"/>
        <v>686</v>
      </c>
      <c r="F535" s="4"/>
    </row>
    <row r="536" ht="12.75" customHeight="1">
      <c r="A536" s="19" t="s">
        <v>1064</v>
      </c>
      <c r="B536" s="20" t="s">
        <v>1065</v>
      </c>
      <c r="C536" s="21">
        <v>1.0</v>
      </c>
      <c r="D536" s="10">
        <v>33.0</v>
      </c>
      <c r="E536" s="10">
        <f t="shared" si="15"/>
        <v>66</v>
      </c>
      <c r="F536" s="4"/>
    </row>
    <row r="537" ht="12.75" customHeight="1">
      <c r="A537" s="19" t="s">
        <v>1066</v>
      </c>
      <c r="B537" s="20" t="s">
        <v>1067</v>
      </c>
      <c r="C537" s="21">
        <v>1.0</v>
      </c>
      <c r="D537" s="10">
        <v>33.0</v>
      </c>
      <c r="E537" s="10">
        <f t="shared" si="15"/>
        <v>66</v>
      </c>
      <c r="F537" s="4"/>
    </row>
    <row r="538" ht="12.75" customHeight="1">
      <c r="A538" s="19" t="s">
        <v>1068</v>
      </c>
      <c r="B538" s="20" t="s">
        <v>1065</v>
      </c>
      <c r="C538" s="21">
        <v>1.0</v>
      </c>
      <c r="D538" s="10">
        <v>33.0</v>
      </c>
      <c r="E538" s="10">
        <f t="shared" si="15"/>
        <v>66</v>
      </c>
      <c r="F538" s="4"/>
    </row>
    <row r="539" ht="12.75" customHeight="1">
      <c r="A539" s="19" t="s">
        <v>1069</v>
      </c>
      <c r="B539" s="20" t="s">
        <v>1070</v>
      </c>
      <c r="C539" s="21">
        <v>1.0</v>
      </c>
      <c r="D539" s="10">
        <v>45.0</v>
      </c>
      <c r="E539" s="10">
        <f t="shared" si="15"/>
        <v>90</v>
      </c>
      <c r="F539" s="4"/>
    </row>
    <row r="540" ht="12.75" customHeight="1">
      <c r="A540" s="19" t="s">
        <v>1071</v>
      </c>
      <c r="B540" s="20" t="s">
        <v>1072</v>
      </c>
      <c r="C540" s="21">
        <v>1.0</v>
      </c>
      <c r="D540" s="10">
        <v>31.0</v>
      </c>
      <c r="E540" s="10">
        <f t="shared" si="15"/>
        <v>62</v>
      </c>
      <c r="F540" s="4"/>
    </row>
    <row r="541" ht="12.75" customHeight="1">
      <c r="A541" s="19" t="s">
        <v>1073</v>
      </c>
      <c r="B541" s="20" t="s">
        <v>1074</v>
      </c>
      <c r="C541" s="21">
        <v>1.0</v>
      </c>
      <c r="D541" s="10">
        <v>50.0</v>
      </c>
      <c r="E541" s="10">
        <f t="shared" si="15"/>
        <v>100</v>
      </c>
      <c r="F541" s="4"/>
    </row>
    <row r="542" ht="12.75" customHeight="1">
      <c r="A542" s="19" t="s">
        <v>1075</v>
      </c>
      <c r="B542" s="20" t="s">
        <v>1076</v>
      </c>
      <c r="C542" s="21">
        <v>1.0</v>
      </c>
      <c r="D542" s="10">
        <v>38.0</v>
      </c>
      <c r="E542" s="10">
        <f t="shared" si="15"/>
        <v>76</v>
      </c>
      <c r="F542" s="4"/>
    </row>
    <row r="543" ht="12.75" customHeight="1">
      <c r="A543" s="19" t="s">
        <v>1077</v>
      </c>
      <c r="B543" s="20" t="s">
        <v>1078</v>
      </c>
      <c r="C543" s="21">
        <v>1.0</v>
      </c>
      <c r="D543" s="10">
        <v>50.0</v>
      </c>
      <c r="E543" s="10">
        <f t="shared" si="15"/>
        <v>100</v>
      </c>
      <c r="F543" s="4"/>
    </row>
    <row r="544" ht="12.75" customHeight="1">
      <c r="A544" s="19" t="s">
        <v>1079</v>
      </c>
      <c r="B544" s="20" t="s">
        <v>1080</v>
      </c>
      <c r="C544" s="21">
        <v>1.0</v>
      </c>
      <c r="D544" s="10">
        <v>53.0</v>
      </c>
      <c r="E544" s="10">
        <f t="shared" si="15"/>
        <v>106</v>
      </c>
      <c r="F544" s="4"/>
    </row>
    <row r="545" ht="12.75" customHeight="1">
      <c r="A545" s="19" t="s">
        <v>1081</v>
      </c>
      <c r="B545" s="20" t="s">
        <v>1082</v>
      </c>
      <c r="C545" s="21">
        <v>1.0</v>
      </c>
      <c r="D545" s="10">
        <v>54.0</v>
      </c>
      <c r="E545" s="10">
        <f t="shared" si="15"/>
        <v>108</v>
      </c>
      <c r="F545" s="4"/>
    </row>
    <row r="546" ht="12.75" customHeight="1">
      <c r="A546" s="19" t="s">
        <v>1083</v>
      </c>
      <c r="B546" s="20" t="s">
        <v>1084</v>
      </c>
      <c r="C546" s="21">
        <v>1.0</v>
      </c>
      <c r="D546" s="10">
        <v>43.0</v>
      </c>
      <c r="E546" s="10">
        <f t="shared" si="15"/>
        <v>86</v>
      </c>
      <c r="F546" s="4"/>
      <c r="G546" s="22"/>
      <c r="H546" s="22"/>
    </row>
    <row r="547" ht="12.75" customHeight="1">
      <c r="A547" s="19" t="s">
        <v>1085</v>
      </c>
      <c r="B547" s="20" t="s">
        <v>1086</v>
      </c>
      <c r="C547" s="21">
        <v>1.0</v>
      </c>
      <c r="D547" s="10">
        <v>57.0</v>
      </c>
      <c r="E547" s="10">
        <f t="shared" si="15"/>
        <v>114</v>
      </c>
      <c r="F547" s="4"/>
      <c r="G547" s="22"/>
      <c r="H547" s="22"/>
    </row>
    <row r="548" ht="12.75" customHeight="1">
      <c r="A548" s="19" t="s">
        <v>1087</v>
      </c>
      <c r="B548" s="20" t="s">
        <v>1088</v>
      </c>
      <c r="C548" s="21">
        <v>1.0</v>
      </c>
      <c r="D548" s="10">
        <v>43.0</v>
      </c>
      <c r="E548" s="10">
        <f t="shared" si="15"/>
        <v>86</v>
      </c>
      <c r="F548" s="4"/>
      <c r="G548" s="22"/>
      <c r="H548" s="22"/>
    </row>
    <row r="549" ht="12.75" customHeight="1">
      <c r="A549" s="19" t="s">
        <v>1089</v>
      </c>
      <c r="B549" s="20" t="s">
        <v>1090</v>
      </c>
      <c r="C549" s="21">
        <v>1.0</v>
      </c>
      <c r="D549" s="10">
        <v>43.0</v>
      </c>
      <c r="E549" s="10">
        <f t="shared" si="15"/>
        <v>86</v>
      </c>
      <c r="F549" s="4"/>
      <c r="G549" s="22"/>
      <c r="H549" s="22"/>
    </row>
    <row r="550" ht="13.5" customHeight="1">
      <c r="A550" s="19" t="s">
        <v>1091</v>
      </c>
      <c r="B550" s="20" t="s">
        <v>1092</v>
      </c>
      <c r="C550" s="21">
        <v>1.0</v>
      </c>
      <c r="D550" s="10">
        <v>43.0</v>
      </c>
      <c r="E550" s="10">
        <f t="shared" si="15"/>
        <v>86</v>
      </c>
      <c r="F550" s="4"/>
      <c r="G550" s="22"/>
      <c r="H550" s="22"/>
    </row>
    <row r="551" ht="12.75" customHeight="1">
      <c r="A551" s="19" t="s">
        <v>1093</v>
      </c>
      <c r="B551" s="20" t="s">
        <v>1094</v>
      </c>
      <c r="C551" s="21">
        <v>1.0</v>
      </c>
      <c r="D551" s="10">
        <v>43.0</v>
      </c>
      <c r="E551" s="10">
        <f t="shared" si="15"/>
        <v>86</v>
      </c>
      <c r="F551" s="4"/>
      <c r="G551" s="22"/>
      <c r="H551" s="22"/>
    </row>
    <row r="552" ht="12.75" customHeight="1">
      <c r="A552" s="19" t="s">
        <v>1095</v>
      </c>
      <c r="B552" s="20" t="s">
        <v>1096</v>
      </c>
      <c r="C552" s="21">
        <v>1.0</v>
      </c>
      <c r="D552" s="10">
        <v>43.0</v>
      </c>
      <c r="E552" s="10">
        <f t="shared" si="15"/>
        <v>86</v>
      </c>
      <c r="F552" s="4"/>
      <c r="G552" s="22"/>
      <c r="H552" s="22"/>
    </row>
    <row r="553" ht="12.75" customHeight="1">
      <c r="A553" s="19" t="s">
        <v>1097</v>
      </c>
      <c r="B553" s="20" t="s">
        <v>1007</v>
      </c>
      <c r="C553" s="21">
        <v>1.0</v>
      </c>
      <c r="D553" s="10">
        <v>43.0</v>
      </c>
      <c r="E553" s="10">
        <f t="shared" si="15"/>
        <v>86</v>
      </c>
      <c r="F553" s="4"/>
      <c r="G553" s="22"/>
      <c r="H553" s="22"/>
    </row>
    <row r="554" ht="12.75" customHeight="1">
      <c r="A554" s="19" t="s">
        <v>1098</v>
      </c>
      <c r="B554" s="20" t="s">
        <v>1099</v>
      </c>
      <c r="C554" s="21">
        <v>1.0</v>
      </c>
      <c r="D554" s="10">
        <v>43.0</v>
      </c>
      <c r="E554" s="10">
        <f t="shared" si="15"/>
        <v>86</v>
      </c>
      <c r="F554" s="4"/>
      <c r="G554" s="22"/>
      <c r="H554" s="22"/>
    </row>
    <row r="555" ht="12.75" customHeight="1">
      <c r="A555" s="19" t="s">
        <v>1100</v>
      </c>
      <c r="B555" s="20" t="s">
        <v>1101</v>
      </c>
      <c r="C555" s="21">
        <v>1.0</v>
      </c>
      <c r="D555" s="10">
        <v>48.0</v>
      </c>
      <c r="E555" s="10">
        <f t="shared" si="15"/>
        <v>96</v>
      </c>
      <c r="F555" s="4"/>
      <c r="G555" s="22"/>
      <c r="H555" s="22"/>
    </row>
    <row r="556" ht="12.75" customHeight="1">
      <c r="A556" s="19" t="s">
        <v>1102</v>
      </c>
      <c r="B556" s="20" t="s">
        <v>1103</v>
      </c>
      <c r="C556" s="21">
        <v>1.0</v>
      </c>
      <c r="D556" s="10">
        <v>52.0</v>
      </c>
      <c r="E556" s="10">
        <f t="shared" si="15"/>
        <v>104</v>
      </c>
      <c r="F556" s="4"/>
      <c r="G556" s="22"/>
      <c r="H556" s="22"/>
      <c r="I556" s="22"/>
      <c r="J556" s="22"/>
    </row>
    <row r="557" ht="12.75" customHeight="1">
      <c r="A557" s="19" t="s">
        <v>1104</v>
      </c>
      <c r="B557" s="20" t="s">
        <v>1105</v>
      </c>
      <c r="C557" s="21">
        <v>1.0</v>
      </c>
      <c r="D557" s="10">
        <v>52.0</v>
      </c>
      <c r="E557" s="10">
        <f t="shared" si="15"/>
        <v>104</v>
      </c>
      <c r="F557" s="4"/>
      <c r="G557" s="22"/>
      <c r="H557" s="22"/>
      <c r="I557" s="22"/>
      <c r="J557" s="22"/>
    </row>
    <row r="558" ht="12.75" customHeight="1">
      <c r="A558" s="19" t="s">
        <v>1106</v>
      </c>
      <c r="B558" s="20" t="s">
        <v>1107</v>
      </c>
      <c r="C558" s="21">
        <v>1.0</v>
      </c>
      <c r="D558" s="10">
        <v>52.0</v>
      </c>
      <c r="E558" s="10">
        <f t="shared" si="15"/>
        <v>104</v>
      </c>
      <c r="F558" s="4"/>
      <c r="G558" s="22"/>
      <c r="H558" s="22"/>
      <c r="I558" s="22"/>
      <c r="J558" s="22"/>
    </row>
    <row r="559" ht="13.5" customHeight="1">
      <c r="A559" s="19" t="s">
        <v>1108</v>
      </c>
      <c r="B559" s="20" t="s">
        <v>1109</v>
      </c>
      <c r="C559" s="21">
        <v>48.0</v>
      </c>
      <c r="D559" s="10">
        <v>46.0</v>
      </c>
      <c r="E559" s="10">
        <f t="shared" ref="E559:E565" si="16">D559*1.8</f>
        <v>82.8</v>
      </c>
      <c r="F559" s="4"/>
    </row>
    <row r="560" ht="12.75" customHeight="1">
      <c r="A560" s="19" t="s">
        <v>1110</v>
      </c>
      <c r="B560" s="20" t="s">
        <v>1111</v>
      </c>
      <c r="C560" s="21">
        <v>36.0</v>
      </c>
      <c r="D560" s="10">
        <v>57.0</v>
      </c>
      <c r="E560" s="10">
        <f t="shared" si="16"/>
        <v>102.6</v>
      </c>
      <c r="F560" s="4"/>
    </row>
    <row r="561" ht="12.75" customHeight="1">
      <c r="A561" s="19" t="s">
        <v>1112</v>
      </c>
      <c r="B561" s="20" t="s">
        <v>1113</v>
      </c>
      <c r="C561" s="21">
        <v>12.0</v>
      </c>
      <c r="D561" s="10">
        <v>101.0</v>
      </c>
      <c r="E561" s="10">
        <f t="shared" si="16"/>
        <v>181.8</v>
      </c>
      <c r="F561" s="4"/>
    </row>
    <row r="562" ht="12.75" customHeight="1">
      <c r="A562" s="19" t="s">
        <v>1114</v>
      </c>
      <c r="B562" s="20" t="s">
        <v>1115</v>
      </c>
      <c r="C562" s="21">
        <v>12.0</v>
      </c>
      <c r="D562" s="10">
        <v>107.0</v>
      </c>
      <c r="E562" s="10">
        <f t="shared" si="16"/>
        <v>192.6</v>
      </c>
      <c r="F562" s="4"/>
    </row>
    <row r="563" ht="12.75" customHeight="1">
      <c r="A563" s="19" t="s">
        <v>1116</v>
      </c>
      <c r="B563" s="20" t="s">
        <v>1117</v>
      </c>
      <c r="C563" s="21">
        <v>12.0</v>
      </c>
      <c r="D563" s="10">
        <v>214.0</v>
      </c>
      <c r="E563" s="10">
        <f t="shared" si="16"/>
        <v>385.2</v>
      </c>
      <c r="F563" s="4"/>
    </row>
    <row r="564" ht="12.75" customHeight="1">
      <c r="A564" s="30" t="s">
        <v>1118</v>
      </c>
      <c r="B564" s="20" t="s">
        <v>1119</v>
      </c>
      <c r="C564" s="21">
        <v>10.0</v>
      </c>
      <c r="D564" s="10">
        <v>276.0</v>
      </c>
      <c r="E564" s="10">
        <f t="shared" si="16"/>
        <v>496.8</v>
      </c>
      <c r="F564" s="4"/>
    </row>
    <row r="565" ht="12.75" customHeight="1">
      <c r="A565" s="19" t="s">
        <v>1120</v>
      </c>
      <c r="B565" s="20" t="s">
        <v>1121</v>
      </c>
      <c r="C565" s="21">
        <v>3.0</v>
      </c>
      <c r="D565" s="10">
        <v>440.0</v>
      </c>
      <c r="E565" s="10">
        <f t="shared" si="16"/>
        <v>792</v>
      </c>
      <c r="F565" s="4"/>
    </row>
    <row r="566" ht="12.75" customHeight="1">
      <c r="A566" s="30" t="s">
        <v>1122</v>
      </c>
      <c r="B566" s="20" t="s">
        <v>1123</v>
      </c>
      <c r="C566" s="21">
        <v>6.0</v>
      </c>
      <c r="D566" s="10">
        <v>45.0</v>
      </c>
      <c r="E566" s="10">
        <f t="shared" ref="E566:E573" si="17">D566*1.5</f>
        <v>67.5</v>
      </c>
      <c r="F566" s="4"/>
      <c r="I566" s="31"/>
      <c r="J566" s="32"/>
    </row>
    <row r="567" ht="12.75" customHeight="1">
      <c r="A567" s="30" t="s">
        <v>1124</v>
      </c>
      <c r="B567" s="20" t="s">
        <v>1125</v>
      </c>
      <c r="C567" s="21">
        <v>6.0</v>
      </c>
      <c r="D567" s="10">
        <v>50.0</v>
      </c>
      <c r="E567" s="10">
        <f t="shared" si="17"/>
        <v>75</v>
      </c>
      <c r="F567" s="4"/>
      <c r="I567" s="31"/>
      <c r="J567" s="32"/>
    </row>
    <row r="568" ht="12.75" customHeight="1">
      <c r="A568" s="30" t="s">
        <v>1126</v>
      </c>
      <c r="B568" s="20" t="s">
        <v>1127</v>
      </c>
      <c r="C568" s="21">
        <v>6.0</v>
      </c>
      <c r="D568" s="10">
        <v>50.0</v>
      </c>
      <c r="E568" s="10">
        <f t="shared" si="17"/>
        <v>75</v>
      </c>
      <c r="F568" s="4"/>
      <c r="I568" s="31"/>
      <c r="J568" s="32"/>
    </row>
    <row r="569" ht="12.75" customHeight="1">
      <c r="A569" s="30" t="s">
        <v>1128</v>
      </c>
      <c r="B569" s="20" t="s">
        <v>1129</v>
      </c>
      <c r="C569" s="21">
        <v>1.0</v>
      </c>
      <c r="D569" s="10">
        <v>295.0</v>
      </c>
      <c r="E569" s="10">
        <f t="shared" si="17"/>
        <v>442.5</v>
      </c>
      <c r="F569" s="4"/>
      <c r="I569" s="31"/>
      <c r="J569" s="32"/>
    </row>
    <row r="570" ht="12.75" customHeight="1">
      <c r="A570" s="30" t="s">
        <v>1130</v>
      </c>
      <c r="B570" s="20" t="s">
        <v>1131</v>
      </c>
      <c r="C570" s="21">
        <v>1.0</v>
      </c>
      <c r="D570" s="10">
        <v>320.0</v>
      </c>
      <c r="E570" s="10">
        <f t="shared" si="17"/>
        <v>480</v>
      </c>
      <c r="F570" s="4"/>
      <c r="I570" s="31"/>
      <c r="J570" s="32"/>
    </row>
    <row r="571" ht="12.75" customHeight="1">
      <c r="A571" s="30" t="s">
        <v>1132</v>
      </c>
      <c r="B571" s="20" t="s">
        <v>1133</v>
      </c>
      <c r="C571" s="21">
        <v>1.0</v>
      </c>
      <c r="D571" s="10">
        <v>320.0</v>
      </c>
      <c r="E571" s="10">
        <f t="shared" si="17"/>
        <v>480</v>
      </c>
      <c r="F571" s="4"/>
      <c r="I571" s="31"/>
      <c r="J571" s="32"/>
    </row>
    <row r="572" ht="12.75" customHeight="1">
      <c r="A572" s="30" t="s">
        <v>1134</v>
      </c>
      <c r="B572" s="20" t="s">
        <v>1135</v>
      </c>
      <c r="C572" s="21">
        <v>6.0</v>
      </c>
      <c r="D572" s="10">
        <v>45.0</v>
      </c>
      <c r="E572" s="10">
        <f t="shared" si="17"/>
        <v>67.5</v>
      </c>
      <c r="F572" s="4"/>
    </row>
    <row r="573" ht="12.75" customHeight="1">
      <c r="A573" s="30" t="s">
        <v>1136</v>
      </c>
      <c r="B573" s="20" t="s">
        <v>1137</v>
      </c>
      <c r="C573" s="21">
        <v>6.0</v>
      </c>
      <c r="D573" s="10">
        <v>63.0</v>
      </c>
      <c r="E573" s="10">
        <f t="shared" si="17"/>
        <v>94.5</v>
      </c>
      <c r="F573" s="4"/>
    </row>
    <row r="574" ht="12.75" customHeight="1">
      <c r="A574" s="30" t="s">
        <v>1138</v>
      </c>
      <c r="B574" s="20" t="s">
        <v>1139</v>
      </c>
      <c r="C574" s="21">
        <v>1.0</v>
      </c>
      <c r="D574" s="10">
        <v>25.0</v>
      </c>
      <c r="E574" s="10">
        <f t="shared" ref="E574:E579" si="18">D574*1.8</f>
        <v>45</v>
      </c>
      <c r="F574" s="4"/>
    </row>
    <row r="575" ht="12.75" customHeight="1">
      <c r="A575" s="30" t="s">
        <v>1140</v>
      </c>
      <c r="B575" s="20" t="s">
        <v>1141</v>
      </c>
      <c r="C575" s="21">
        <v>24.0</v>
      </c>
      <c r="D575" s="10">
        <v>110.0</v>
      </c>
      <c r="E575" s="10">
        <f t="shared" si="18"/>
        <v>198</v>
      </c>
      <c r="F575" s="4"/>
    </row>
    <row r="576" ht="12.75" customHeight="1">
      <c r="A576" s="30" t="s">
        <v>1142</v>
      </c>
      <c r="B576" s="20" t="s">
        <v>1141</v>
      </c>
      <c r="C576" s="21">
        <v>24.0</v>
      </c>
      <c r="D576" s="10">
        <v>74.0</v>
      </c>
      <c r="E576" s="10">
        <f t="shared" si="18"/>
        <v>133.2</v>
      </c>
      <c r="F576" s="4"/>
    </row>
    <row r="577" ht="12.75" customHeight="1">
      <c r="A577" s="30" t="s">
        <v>1143</v>
      </c>
      <c r="B577" s="20" t="s">
        <v>1141</v>
      </c>
      <c r="C577" s="21">
        <v>12.0</v>
      </c>
      <c r="D577" s="10">
        <v>144.0</v>
      </c>
      <c r="E577" s="10">
        <f t="shared" si="18"/>
        <v>259.2</v>
      </c>
      <c r="F577" s="4"/>
    </row>
    <row r="578" ht="12.75" customHeight="1">
      <c r="A578" s="30" t="s">
        <v>1144</v>
      </c>
      <c r="B578" s="20" t="s">
        <v>1141</v>
      </c>
      <c r="C578" s="21">
        <v>12.0</v>
      </c>
      <c r="D578" s="10">
        <v>144.0</v>
      </c>
      <c r="E578" s="10">
        <f t="shared" si="18"/>
        <v>259.2</v>
      </c>
      <c r="F578" s="4"/>
    </row>
    <row r="579" ht="12.75" customHeight="1">
      <c r="A579" s="30" t="s">
        <v>1145</v>
      </c>
      <c r="B579" s="20" t="s">
        <v>1141</v>
      </c>
      <c r="C579" s="21">
        <v>24.0</v>
      </c>
      <c r="D579" s="10">
        <v>93.0</v>
      </c>
      <c r="E579" s="10">
        <f t="shared" si="18"/>
        <v>167.4</v>
      </c>
      <c r="F579" s="4"/>
    </row>
    <row r="580" ht="12.75" customHeight="1">
      <c r="A580" s="30" t="s">
        <v>1146</v>
      </c>
      <c r="B580" s="20" t="s">
        <v>1147</v>
      </c>
      <c r="C580" s="21">
        <v>1.0</v>
      </c>
      <c r="D580" s="10">
        <v>249.0</v>
      </c>
      <c r="E580" s="10">
        <f t="shared" ref="E580:E594" si="19">D580*1.5</f>
        <v>373.5</v>
      </c>
      <c r="F580" s="4"/>
    </row>
    <row r="581" ht="12.75" customHeight="1">
      <c r="A581" s="30" t="s">
        <v>1148</v>
      </c>
      <c r="B581" s="20" t="s">
        <v>1149</v>
      </c>
      <c r="C581" s="21">
        <v>1.0</v>
      </c>
      <c r="D581" s="10">
        <v>287.0</v>
      </c>
      <c r="E581" s="10">
        <f t="shared" si="19"/>
        <v>430.5</v>
      </c>
      <c r="F581" s="4"/>
    </row>
    <row r="582" ht="12.75" customHeight="1">
      <c r="A582" s="30" t="s">
        <v>1150</v>
      </c>
      <c r="B582" s="20" t="s">
        <v>1151</v>
      </c>
      <c r="C582" s="21">
        <v>1.0</v>
      </c>
      <c r="D582" s="10">
        <v>504.0</v>
      </c>
      <c r="E582" s="10">
        <f t="shared" si="19"/>
        <v>756</v>
      </c>
      <c r="F582" s="4"/>
    </row>
    <row r="583" ht="12.75" customHeight="1">
      <c r="A583" s="30" t="s">
        <v>1152</v>
      </c>
      <c r="B583" s="20" t="s">
        <v>1153</v>
      </c>
      <c r="C583" s="21">
        <v>1.0</v>
      </c>
      <c r="D583" s="10">
        <v>504.0</v>
      </c>
      <c r="E583" s="10">
        <f t="shared" si="19"/>
        <v>756</v>
      </c>
      <c r="F583" s="4"/>
    </row>
    <row r="584" ht="12.75" customHeight="1">
      <c r="A584" s="30" t="s">
        <v>1154</v>
      </c>
      <c r="B584" s="20" t="s">
        <v>1155</v>
      </c>
      <c r="C584" s="21">
        <v>1.0</v>
      </c>
      <c r="D584" s="10">
        <v>625.0</v>
      </c>
      <c r="E584" s="10">
        <f t="shared" si="19"/>
        <v>937.5</v>
      </c>
      <c r="F584" s="4"/>
    </row>
    <row r="585" ht="12.75" customHeight="1">
      <c r="A585" s="30" t="s">
        <v>1156</v>
      </c>
      <c r="B585" s="20" t="s">
        <v>1157</v>
      </c>
      <c r="C585" s="21">
        <v>1.0</v>
      </c>
      <c r="D585" s="10">
        <v>587.0</v>
      </c>
      <c r="E585" s="10">
        <f t="shared" si="19"/>
        <v>880.5</v>
      </c>
      <c r="F585" s="4"/>
    </row>
    <row r="586" ht="12.75" customHeight="1">
      <c r="A586" s="30" t="s">
        <v>1158</v>
      </c>
      <c r="B586" s="20" t="s">
        <v>1159</v>
      </c>
      <c r="C586" s="21">
        <v>1.0</v>
      </c>
      <c r="D586" s="10">
        <v>1295.0</v>
      </c>
      <c r="E586" s="10">
        <f t="shared" si="19"/>
        <v>1942.5</v>
      </c>
      <c r="F586" s="4"/>
    </row>
    <row r="587" ht="12.75" customHeight="1">
      <c r="A587" s="30" t="s">
        <v>1160</v>
      </c>
      <c r="B587" s="20" t="s">
        <v>1159</v>
      </c>
      <c r="C587" s="21">
        <v>1.0</v>
      </c>
      <c r="D587" s="10">
        <v>1295.0</v>
      </c>
      <c r="E587" s="10">
        <f t="shared" si="19"/>
        <v>1942.5</v>
      </c>
      <c r="F587" s="4"/>
    </row>
    <row r="588" ht="12.75" customHeight="1">
      <c r="A588" s="30" t="s">
        <v>1161</v>
      </c>
      <c r="B588" s="20" t="s">
        <v>1162</v>
      </c>
      <c r="C588" s="21">
        <v>1.0</v>
      </c>
      <c r="D588" s="10">
        <v>1403.0</v>
      </c>
      <c r="E588" s="10">
        <f t="shared" si="19"/>
        <v>2104.5</v>
      </c>
      <c r="F588" s="4"/>
    </row>
    <row r="589" ht="12.75" customHeight="1">
      <c r="A589" s="30" t="s">
        <v>1163</v>
      </c>
      <c r="B589" s="20" t="s">
        <v>1164</v>
      </c>
      <c r="C589" s="21">
        <v>1.0</v>
      </c>
      <c r="D589" s="10">
        <v>2104.0</v>
      </c>
      <c r="E589" s="10">
        <f t="shared" si="19"/>
        <v>3156</v>
      </c>
      <c r="F589" s="4"/>
    </row>
    <row r="590" ht="12.75" customHeight="1">
      <c r="A590" s="30" t="s">
        <v>1165</v>
      </c>
      <c r="B590" s="20" t="s">
        <v>1166</v>
      </c>
      <c r="C590" s="21">
        <v>1.0</v>
      </c>
      <c r="D590" s="10">
        <v>2480.0</v>
      </c>
      <c r="E590" s="10">
        <f t="shared" si="19"/>
        <v>3720</v>
      </c>
      <c r="F590" s="4"/>
    </row>
    <row r="591" ht="12.75" customHeight="1">
      <c r="A591" s="30" t="s">
        <v>1167</v>
      </c>
      <c r="B591" s="20" t="s">
        <v>1168</v>
      </c>
      <c r="C591" s="21">
        <v>1.0</v>
      </c>
      <c r="D591" s="10">
        <v>2544.0</v>
      </c>
      <c r="E591" s="10">
        <f t="shared" si="19"/>
        <v>3816</v>
      </c>
      <c r="F591" s="4"/>
    </row>
    <row r="592" ht="12.75" customHeight="1">
      <c r="A592" s="30" t="s">
        <v>1169</v>
      </c>
      <c r="B592" s="20" t="s">
        <v>1170</v>
      </c>
      <c r="C592" s="21">
        <v>1.0</v>
      </c>
      <c r="D592" s="10">
        <v>2417.0</v>
      </c>
      <c r="E592" s="10">
        <f t="shared" si="19"/>
        <v>3625.5</v>
      </c>
      <c r="F592" s="4"/>
    </row>
    <row r="593" ht="12.75" customHeight="1">
      <c r="A593" s="9" t="s">
        <v>1171</v>
      </c>
      <c r="B593" s="20" t="s">
        <v>1172</v>
      </c>
      <c r="C593" s="7">
        <v>1.0</v>
      </c>
      <c r="D593" s="8">
        <v>1352.0</v>
      </c>
      <c r="E593" s="10">
        <f t="shared" si="19"/>
        <v>2028</v>
      </c>
      <c r="F593" s="4"/>
    </row>
    <row r="594" ht="12.75" customHeight="1">
      <c r="A594" s="9" t="s">
        <v>1173</v>
      </c>
      <c r="B594" s="20" t="s">
        <v>1174</v>
      </c>
      <c r="C594" s="7">
        <v>1.0</v>
      </c>
      <c r="D594" s="8">
        <v>1403.0</v>
      </c>
      <c r="E594" s="10">
        <f t="shared" si="19"/>
        <v>2104.5</v>
      </c>
      <c r="F594" s="4"/>
    </row>
    <row r="595" ht="13.5" customHeight="1">
      <c r="A595" s="30" t="s">
        <v>1175</v>
      </c>
      <c r="B595" s="20" t="s">
        <v>1176</v>
      </c>
      <c r="C595" s="21">
        <v>8.0</v>
      </c>
      <c r="D595" s="10">
        <v>23.0</v>
      </c>
      <c r="E595" s="10">
        <f>D595*1.8</f>
        <v>41.4</v>
      </c>
      <c r="F595" s="4"/>
    </row>
    <row r="596" ht="12.75" customHeight="1">
      <c r="A596" s="28" t="s">
        <v>1177</v>
      </c>
      <c r="B596" s="20" t="s">
        <v>1178</v>
      </c>
      <c r="C596" s="7">
        <v>72.0</v>
      </c>
      <c r="D596" s="10">
        <v>66.0</v>
      </c>
      <c r="E596" s="10">
        <f t="shared" ref="E596:E615" si="20">D596*2</f>
        <v>132</v>
      </c>
      <c r="F596" s="4"/>
    </row>
    <row r="597" ht="12.75" customHeight="1">
      <c r="A597" s="28" t="s">
        <v>1179</v>
      </c>
      <c r="B597" s="20" t="s">
        <v>1180</v>
      </c>
      <c r="C597" s="7">
        <v>80.0</v>
      </c>
      <c r="D597" s="10">
        <v>42.0</v>
      </c>
      <c r="E597" s="10">
        <f t="shared" si="20"/>
        <v>84</v>
      </c>
      <c r="F597" s="4"/>
    </row>
    <row r="598" ht="12.75" customHeight="1">
      <c r="A598" s="28" t="s">
        <v>1181</v>
      </c>
      <c r="B598" s="20" t="s">
        <v>1182</v>
      </c>
      <c r="C598" s="7">
        <v>100.0</v>
      </c>
      <c r="D598" s="10">
        <v>55.0</v>
      </c>
      <c r="E598" s="10">
        <f t="shared" si="20"/>
        <v>110</v>
      </c>
      <c r="F598" s="4"/>
    </row>
    <row r="599" ht="12.75" customHeight="1">
      <c r="A599" s="28" t="s">
        <v>1183</v>
      </c>
      <c r="B599" s="20" t="s">
        <v>1184</v>
      </c>
      <c r="C599" s="7">
        <v>50.0</v>
      </c>
      <c r="D599" s="10">
        <v>66.0</v>
      </c>
      <c r="E599" s="10">
        <f t="shared" si="20"/>
        <v>132</v>
      </c>
      <c r="F599" s="4"/>
    </row>
    <row r="600" ht="12.75" customHeight="1">
      <c r="A600" s="28" t="s">
        <v>1185</v>
      </c>
      <c r="B600" s="20" t="s">
        <v>1186</v>
      </c>
      <c r="C600" s="7">
        <v>100.0</v>
      </c>
      <c r="D600" s="10">
        <v>60.0</v>
      </c>
      <c r="E600" s="10">
        <f t="shared" si="20"/>
        <v>120</v>
      </c>
      <c r="F600" s="4"/>
    </row>
    <row r="601" ht="12.75" customHeight="1">
      <c r="A601" s="28" t="s">
        <v>1187</v>
      </c>
      <c r="B601" s="20" t="s">
        <v>1188</v>
      </c>
      <c r="C601" s="7">
        <v>50.0</v>
      </c>
      <c r="D601" s="10">
        <v>66.0</v>
      </c>
      <c r="E601" s="10">
        <f t="shared" si="20"/>
        <v>132</v>
      </c>
      <c r="F601" s="4"/>
    </row>
    <row r="602" ht="12.75" customHeight="1">
      <c r="A602" s="28" t="s">
        <v>1189</v>
      </c>
      <c r="B602" s="20" t="s">
        <v>1190</v>
      </c>
      <c r="C602" s="7">
        <v>100.0</v>
      </c>
      <c r="D602" s="10">
        <v>60.0</v>
      </c>
      <c r="E602" s="10">
        <f t="shared" si="20"/>
        <v>120</v>
      </c>
      <c r="F602" s="4"/>
    </row>
    <row r="603" ht="12.75" customHeight="1">
      <c r="A603" s="28" t="s">
        <v>1191</v>
      </c>
      <c r="B603" s="20" t="s">
        <v>1192</v>
      </c>
      <c r="C603" s="7">
        <v>100.0</v>
      </c>
      <c r="D603" s="10">
        <v>60.0</v>
      </c>
      <c r="E603" s="10">
        <f t="shared" si="20"/>
        <v>120</v>
      </c>
      <c r="F603" s="4"/>
    </row>
    <row r="604" ht="12.75" customHeight="1">
      <c r="A604" s="28" t="s">
        <v>1193</v>
      </c>
      <c r="B604" s="20" t="s">
        <v>1194</v>
      </c>
      <c r="C604" s="7">
        <v>100.0</v>
      </c>
      <c r="D604" s="10">
        <v>66.0</v>
      </c>
      <c r="E604" s="10">
        <f t="shared" si="20"/>
        <v>132</v>
      </c>
      <c r="F604" s="4"/>
    </row>
    <row r="605" ht="12.75" customHeight="1">
      <c r="A605" s="28" t="s">
        <v>1195</v>
      </c>
      <c r="B605" s="20" t="s">
        <v>1196</v>
      </c>
      <c r="C605" s="7">
        <v>100.0</v>
      </c>
      <c r="D605" s="10">
        <v>89.0</v>
      </c>
      <c r="E605" s="10">
        <f t="shared" si="20"/>
        <v>178</v>
      </c>
      <c r="F605" s="4"/>
    </row>
    <row r="606" ht="12.75" customHeight="1">
      <c r="A606" s="28" t="s">
        <v>1197</v>
      </c>
      <c r="B606" s="20" t="s">
        <v>1198</v>
      </c>
      <c r="C606" s="7">
        <v>100.0</v>
      </c>
      <c r="D606" s="10">
        <v>66.0</v>
      </c>
      <c r="E606" s="10">
        <f t="shared" si="20"/>
        <v>132</v>
      </c>
      <c r="F606" s="4"/>
    </row>
    <row r="607" ht="12.75" customHeight="1">
      <c r="A607" s="28" t="s">
        <v>1199</v>
      </c>
      <c r="B607" s="20" t="s">
        <v>1198</v>
      </c>
      <c r="C607" s="7">
        <v>100.0</v>
      </c>
      <c r="D607" s="10">
        <v>58.0</v>
      </c>
      <c r="E607" s="10">
        <f t="shared" si="20"/>
        <v>116</v>
      </c>
      <c r="F607" s="4"/>
    </row>
    <row r="608" ht="12.75" customHeight="1">
      <c r="A608" s="28" t="s">
        <v>1200</v>
      </c>
      <c r="B608" s="20" t="s">
        <v>1201</v>
      </c>
      <c r="C608" s="7">
        <v>60.0</v>
      </c>
      <c r="D608" s="10">
        <v>39.0</v>
      </c>
      <c r="E608" s="10">
        <f t="shared" si="20"/>
        <v>78</v>
      </c>
      <c r="F608" s="4"/>
    </row>
    <row r="609" ht="12.75" customHeight="1">
      <c r="A609" s="28" t="s">
        <v>1202</v>
      </c>
      <c r="B609" s="20" t="s">
        <v>1203</v>
      </c>
      <c r="C609" s="7">
        <v>100.0</v>
      </c>
      <c r="D609" s="10">
        <v>41.0</v>
      </c>
      <c r="E609" s="10">
        <f t="shared" si="20"/>
        <v>82</v>
      </c>
      <c r="F609" s="4"/>
    </row>
    <row r="610" ht="12.75" customHeight="1">
      <c r="A610" s="28" t="s">
        <v>1204</v>
      </c>
      <c r="B610" s="20" t="s">
        <v>1205</v>
      </c>
      <c r="C610" s="7">
        <v>200.0</v>
      </c>
      <c r="D610" s="10">
        <v>22.5</v>
      </c>
      <c r="E610" s="10">
        <f t="shared" si="20"/>
        <v>45</v>
      </c>
      <c r="F610" s="4"/>
    </row>
    <row r="611" ht="12.75" customHeight="1">
      <c r="A611" s="28" t="s">
        <v>1206</v>
      </c>
      <c r="B611" s="20" t="s">
        <v>1207</v>
      </c>
      <c r="C611" s="7">
        <v>72.0</v>
      </c>
      <c r="D611" s="10">
        <v>68.0</v>
      </c>
      <c r="E611" s="10">
        <f t="shared" si="20"/>
        <v>136</v>
      </c>
      <c r="F611" s="4"/>
    </row>
    <row r="612" ht="12.75" customHeight="1">
      <c r="A612" s="28" t="s">
        <v>1208</v>
      </c>
      <c r="B612" s="20" t="s">
        <v>1209</v>
      </c>
      <c r="C612" s="7">
        <v>100.0</v>
      </c>
      <c r="D612" s="10">
        <v>135.0</v>
      </c>
      <c r="E612" s="10">
        <f t="shared" si="20"/>
        <v>270</v>
      </c>
      <c r="F612" s="4"/>
    </row>
    <row r="613" ht="12.75" customHeight="1">
      <c r="A613" s="28" t="s">
        <v>1210</v>
      </c>
      <c r="B613" s="20" t="s">
        <v>1211</v>
      </c>
      <c r="C613" s="7">
        <v>50.0</v>
      </c>
      <c r="D613" s="10">
        <v>167.0</v>
      </c>
      <c r="E613" s="10">
        <f t="shared" si="20"/>
        <v>334</v>
      </c>
      <c r="F613" s="4"/>
    </row>
    <row r="614" ht="12.75" customHeight="1">
      <c r="A614" s="28" t="s">
        <v>1212</v>
      </c>
      <c r="B614" s="20" t="s">
        <v>1213</v>
      </c>
      <c r="C614" s="7">
        <v>100.0</v>
      </c>
      <c r="D614" s="10">
        <v>38.0</v>
      </c>
      <c r="E614" s="10">
        <f t="shared" si="20"/>
        <v>76</v>
      </c>
      <c r="F614" s="4"/>
      <c r="G614" s="22"/>
      <c r="H614" s="22"/>
    </row>
    <row r="615" ht="13.5" customHeight="1">
      <c r="A615" s="30" t="s">
        <v>1214</v>
      </c>
      <c r="B615" s="20" t="s">
        <v>1215</v>
      </c>
      <c r="C615" s="21">
        <v>100.0</v>
      </c>
      <c r="D615" s="10">
        <v>40.0</v>
      </c>
      <c r="E615" s="10">
        <f t="shared" si="20"/>
        <v>80</v>
      </c>
      <c r="F615" s="4"/>
      <c r="G615" s="22"/>
      <c r="H615" s="22"/>
    </row>
    <row r="616" ht="12.75" customHeight="1">
      <c r="A616" s="19" t="s">
        <v>1216</v>
      </c>
      <c r="B616" s="27" t="s">
        <v>1217</v>
      </c>
      <c r="C616" s="21">
        <v>40.0</v>
      </c>
      <c r="D616" s="10">
        <v>35.0</v>
      </c>
      <c r="E616" s="10">
        <f t="shared" ref="E616:E619" si="21">D616/0.45</f>
        <v>77.77777778</v>
      </c>
      <c r="F616" s="4"/>
    </row>
    <row r="617" ht="12.75" customHeight="1">
      <c r="A617" s="19" t="s">
        <v>1218</v>
      </c>
      <c r="B617" s="27" t="s">
        <v>1219</v>
      </c>
      <c r="C617" s="21">
        <v>30.0</v>
      </c>
      <c r="D617" s="10">
        <v>66.5</v>
      </c>
      <c r="E617" s="10">
        <f t="shared" si="21"/>
        <v>147.7777778</v>
      </c>
      <c r="F617" s="4"/>
    </row>
    <row r="618" ht="12.75" customHeight="1">
      <c r="A618" s="19" t="s">
        <v>1220</v>
      </c>
      <c r="B618" s="27" t="s">
        <v>1221</v>
      </c>
      <c r="C618" s="21">
        <v>20.0</v>
      </c>
      <c r="D618" s="10">
        <v>103.0</v>
      </c>
      <c r="E618" s="10">
        <f t="shared" si="21"/>
        <v>228.8888889</v>
      </c>
      <c r="F618" s="4"/>
    </row>
    <row r="619" ht="12.75" customHeight="1">
      <c r="A619" s="19" t="s">
        <v>1222</v>
      </c>
      <c r="B619" s="27" t="s">
        <v>1223</v>
      </c>
      <c r="C619" s="21">
        <v>10.0</v>
      </c>
      <c r="D619" s="10">
        <v>185.0</v>
      </c>
      <c r="E619" s="10">
        <f t="shared" si="21"/>
        <v>411.1111111</v>
      </c>
      <c r="F619" s="4"/>
    </row>
    <row r="620" ht="12.75" customHeight="1">
      <c r="A620" s="19" t="s">
        <v>1224</v>
      </c>
      <c r="B620" s="20" t="s">
        <v>1225</v>
      </c>
      <c r="C620" s="21">
        <v>12.0</v>
      </c>
      <c r="D620" s="10">
        <v>225.0</v>
      </c>
      <c r="E620" s="10">
        <f t="shared" ref="E620:E659" si="22">D620*1.8</f>
        <v>405</v>
      </c>
      <c r="F620" s="4"/>
    </row>
    <row r="621" ht="12.75" customHeight="1">
      <c r="A621" s="19" t="s">
        <v>1226</v>
      </c>
      <c r="B621" s="20" t="s">
        <v>1227</v>
      </c>
      <c r="C621" s="21">
        <v>12.0</v>
      </c>
      <c r="D621" s="10">
        <v>225.0</v>
      </c>
      <c r="E621" s="10">
        <f t="shared" si="22"/>
        <v>405</v>
      </c>
      <c r="F621" s="4"/>
    </row>
    <row r="622" ht="12.75" customHeight="1">
      <c r="A622" s="19" t="s">
        <v>1228</v>
      </c>
      <c r="B622" s="20" t="s">
        <v>1229</v>
      </c>
      <c r="C622" s="21">
        <v>12.0</v>
      </c>
      <c r="D622" s="10">
        <v>225.0</v>
      </c>
      <c r="E622" s="10">
        <f t="shared" si="22"/>
        <v>405</v>
      </c>
      <c r="F622" s="4"/>
    </row>
    <row r="623" ht="12.75" customHeight="1">
      <c r="A623" s="19" t="s">
        <v>1230</v>
      </c>
      <c r="B623" s="20" t="s">
        <v>1231</v>
      </c>
      <c r="C623" s="21">
        <v>12.0</v>
      </c>
      <c r="D623" s="10">
        <v>335.0</v>
      </c>
      <c r="E623" s="10">
        <f t="shared" si="22"/>
        <v>603</v>
      </c>
      <c r="F623" s="4"/>
    </row>
    <row r="624" ht="12.75" customHeight="1">
      <c r="A624" s="19" t="s">
        <v>1232</v>
      </c>
      <c r="B624" s="20" t="s">
        <v>1233</v>
      </c>
      <c r="C624" s="21">
        <v>12.0</v>
      </c>
      <c r="D624" s="10">
        <v>335.0</v>
      </c>
      <c r="E624" s="10">
        <f t="shared" si="22"/>
        <v>603</v>
      </c>
      <c r="F624" s="4"/>
    </row>
    <row r="625" ht="13.5" customHeight="1">
      <c r="A625" s="19" t="s">
        <v>1234</v>
      </c>
      <c r="B625" s="20" t="s">
        <v>1235</v>
      </c>
      <c r="C625" s="21">
        <v>12.0</v>
      </c>
      <c r="D625" s="10">
        <v>335.0</v>
      </c>
      <c r="E625" s="10">
        <f t="shared" si="22"/>
        <v>603</v>
      </c>
      <c r="F625" s="4"/>
    </row>
    <row r="626" ht="12.75" customHeight="1">
      <c r="A626" s="19" t="s">
        <v>1236</v>
      </c>
      <c r="B626" s="20" t="s">
        <v>1237</v>
      </c>
      <c r="C626" s="21">
        <v>12.0</v>
      </c>
      <c r="D626" s="10">
        <v>375.5</v>
      </c>
      <c r="E626" s="10">
        <f t="shared" si="22"/>
        <v>675.9</v>
      </c>
      <c r="F626" s="4"/>
    </row>
    <row r="627" ht="12.75" customHeight="1">
      <c r="A627" s="19" t="s">
        <v>1238</v>
      </c>
      <c r="B627" s="20" t="s">
        <v>1239</v>
      </c>
      <c r="C627" s="21">
        <v>12.0</v>
      </c>
      <c r="D627" s="10">
        <v>375.5</v>
      </c>
      <c r="E627" s="10">
        <f t="shared" si="22"/>
        <v>675.9</v>
      </c>
      <c r="F627" s="4"/>
    </row>
    <row r="628" ht="12.75" customHeight="1">
      <c r="A628" s="19" t="s">
        <v>1240</v>
      </c>
      <c r="B628" s="20" t="s">
        <v>1241</v>
      </c>
      <c r="C628" s="21">
        <v>12.0</v>
      </c>
      <c r="D628" s="10">
        <v>375.5</v>
      </c>
      <c r="E628" s="10">
        <f t="shared" si="22"/>
        <v>675.9</v>
      </c>
      <c r="F628" s="4"/>
    </row>
    <row r="629" ht="12.75" customHeight="1">
      <c r="A629" s="19" t="s">
        <v>1242</v>
      </c>
      <c r="B629" s="20" t="s">
        <v>1243</v>
      </c>
      <c r="C629" s="21">
        <v>12.0</v>
      </c>
      <c r="D629" s="10">
        <v>512.0</v>
      </c>
      <c r="E629" s="10">
        <f t="shared" si="22"/>
        <v>921.6</v>
      </c>
      <c r="F629" s="4"/>
    </row>
    <row r="630" ht="12.75" customHeight="1">
      <c r="A630" s="19" t="s">
        <v>1244</v>
      </c>
      <c r="B630" s="20" t="s">
        <v>1245</v>
      </c>
      <c r="C630" s="21">
        <v>12.0</v>
      </c>
      <c r="D630" s="10">
        <v>512.0</v>
      </c>
      <c r="E630" s="10">
        <f t="shared" si="22"/>
        <v>921.6</v>
      </c>
      <c r="F630" s="4"/>
    </row>
    <row r="631" ht="12.75" customHeight="1">
      <c r="A631" s="19" t="s">
        <v>1246</v>
      </c>
      <c r="B631" s="20" t="s">
        <v>1247</v>
      </c>
      <c r="C631" s="21">
        <v>12.0</v>
      </c>
      <c r="D631" s="10">
        <v>512.0</v>
      </c>
      <c r="E631" s="10">
        <f t="shared" si="22"/>
        <v>921.6</v>
      </c>
      <c r="F631" s="4"/>
    </row>
    <row r="632" ht="12.75" customHeight="1">
      <c r="A632" s="19" t="s">
        <v>1248</v>
      </c>
      <c r="B632" s="20" t="s">
        <v>1249</v>
      </c>
      <c r="C632" s="21">
        <v>12.0</v>
      </c>
      <c r="D632" s="10">
        <v>295.0</v>
      </c>
      <c r="E632" s="10">
        <f t="shared" si="22"/>
        <v>531</v>
      </c>
      <c r="F632" s="4"/>
    </row>
    <row r="633" ht="12.75" customHeight="1">
      <c r="A633" s="19" t="s">
        <v>1250</v>
      </c>
      <c r="B633" s="20" t="s">
        <v>1251</v>
      </c>
      <c r="C633" s="21">
        <v>12.0</v>
      </c>
      <c r="D633" s="10">
        <v>216.5</v>
      </c>
      <c r="E633" s="10">
        <f t="shared" si="22"/>
        <v>389.7</v>
      </c>
      <c r="F633" s="4"/>
    </row>
    <row r="634" ht="12.75" customHeight="1">
      <c r="A634" s="19" t="s">
        <v>1252</v>
      </c>
      <c r="B634" s="20" t="s">
        <v>1253</v>
      </c>
      <c r="C634" s="21">
        <v>12.0</v>
      </c>
      <c r="D634" s="10">
        <v>216.5</v>
      </c>
      <c r="E634" s="10">
        <f t="shared" si="22"/>
        <v>389.7</v>
      </c>
      <c r="F634" s="4"/>
    </row>
    <row r="635" ht="12.75" customHeight="1">
      <c r="A635" s="19" t="s">
        <v>1254</v>
      </c>
      <c r="B635" s="20" t="s">
        <v>1255</v>
      </c>
      <c r="C635" s="21">
        <v>12.0</v>
      </c>
      <c r="D635" s="10">
        <v>232.0</v>
      </c>
      <c r="E635" s="10">
        <f t="shared" si="22"/>
        <v>417.6</v>
      </c>
      <c r="F635" s="4"/>
    </row>
    <row r="636" ht="12.75" customHeight="1">
      <c r="A636" s="19" t="s">
        <v>1256</v>
      </c>
      <c r="B636" s="20" t="s">
        <v>1257</v>
      </c>
      <c r="C636" s="21">
        <v>12.0</v>
      </c>
      <c r="D636" s="10">
        <v>232.0</v>
      </c>
      <c r="E636" s="10">
        <f t="shared" si="22"/>
        <v>417.6</v>
      </c>
      <c r="F636" s="4"/>
    </row>
    <row r="637" ht="12.75" customHeight="1">
      <c r="A637" s="19" t="s">
        <v>1258</v>
      </c>
      <c r="B637" s="20" t="s">
        <v>1259</v>
      </c>
      <c r="C637" s="21">
        <v>12.0</v>
      </c>
      <c r="D637" s="10">
        <v>232.0</v>
      </c>
      <c r="E637" s="10">
        <f t="shared" si="22"/>
        <v>417.6</v>
      </c>
      <c r="F637" s="4"/>
    </row>
    <row r="638" ht="12.75" customHeight="1">
      <c r="A638" s="19" t="s">
        <v>1260</v>
      </c>
      <c r="B638" s="20" t="s">
        <v>1261</v>
      </c>
      <c r="C638" s="21">
        <v>12.0</v>
      </c>
      <c r="D638" s="10">
        <v>232.0</v>
      </c>
      <c r="E638" s="10">
        <f t="shared" si="22"/>
        <v>417.6</v>
      </c>
      <c r="F638" s="4"/>
    </row>
    <row r="639" ht="12.75" customHeight="1">
      <c r="A639" s="19" t="s">
        <v>1262</v>
      </c>
      <c r="B639" s="20" t="s">
        <v>1263</v>
      </c>
      <c r="C639" s="21">
        <v>12.0</v>
      </c>
      <c r="D639" s="10">
        <v>164.0</v>
      </c>
      <c r="E639" s="10">
        <f t="shared" si="22"/>
        <v>295.2</v>
      </c>
      <c r="F639" s="4"/>
    </row>
    <row r="640" ht="12.75" customHeight="1">
      <c r="A640" s="19" t="s">
        <v>1264</v>
      </c>
      <c r="B640" s="20" t="s">
        <v>1265</v>
      </c>
      <c r="C640" s="21">
        <v>12.0</v>
      </c>
      <c r="D640" s="10">
        <v>164.0</v>
      </c>
      <c r="E640" s="10">
        <f t="shared" si="22"/>
        <v>295.2</v>
      </c>
      <c r="F640" s="4"/>
    </row>
    <row r="641" ht="12.75" customHeight="1">
      <c r="A641" s="19" t="s">
        <v>1266</v>
      </c>
      <c r="B641" s="20" t="s">
        <v>1267</v>
      </c>
      <c r="C641" s="21">
        <v>12.0</v>
      </c>
      <c r="D641" s="10">
        <v>164.0</v>
      </c>
      <c r="E641" s="10">
        <f t="shared" si="22"/>
        <v>295.2</v>
      </c>
      <c r="F641" s="4"/>
    </row>
    <row r="642" ht="12.75" customHeight="1">
      <c r="A642" s="19" t="s">
        <v>1268</v>
      </c>
      <c r="B642" s="20" t="s">
        <v>1269</v>
      </c>
      <c r="C642" s="21">
        <v>12.0</v>
      </c>
      <c r="D642" s="10">
        <v>164.0</v>
      </c>
      <c r="E642" s="10">
        <f t="shared" si="22"/>
        <v>295.2</v>
      </c>
      <c r="F642" s="4"/>
    </row>
    <row r="643" ht="12.75" customHeight="1">
      <c r="A643" s="19" t="s">
        <v>1270</v>
      </c>
      <c r="B643" s="20" t="s">
        <v>1271</v>
      </c>
      <c r="C643" s="21">
        <v>12.0</v>
      </c>
      <c r="D643" s="10">
        <v>286.0</v>
      </c>
      <c r="E643" s="10">
        <f t="shared" si="22"/>
        <v>514.8</v>
      </c>
      <c r="F643" s="4"/>
    </row>
    <row r="644" ht="12.75" customHeight="1">
      <c r="A644" s="19" t="s">
        <v>1272</v>
      </c>
      <c r="B644" s="20" t="s">
        <v>1273</v>
      </c>
      <c r="C644" s="21">
        <v>12.0</v>
      </c>
      <c r="D644" s="10">
        <v>286.0</v>
      </c>
      <c r="E644" s="10">
        <f t="shared" si="22"/>
        <v>514.8</v>
      </c>
      <c r="F644" s="4"/>
    </row>
    <row r="645" ht="12.75" customHeight="1">
      <c r="A645" s="19" t="s">
        <v>1274</v>
      </c>
      <c r="B645" s="20" t="s">
        <v>1267</v>
      </c>
      <c r="C645" s="21">
        <v>24.0</v>
      </c>
      <c r="D645" s="10">
        <v>123.5</v>
      </c>
      <c r="E645" s="10">
        <f t="shared" si="22"/>
        <v>222.3</v>
      </c>
      <c r="F645" s="4"/>
    </row>
    <row r="646" ht="12.75" customHeight="1">
      <c r="A646" s="19" t="s">
        <v>1275</v>
      </c>
      <c r="B646" s="20" t="s">
        <v>1263</v>
      </c>
      <c r="C646" s="21">
        <v>24.0</v>
      </c>
      <c r="D646" s="10">
        <v>123.5</v>
      </c>
      <c r="E646" s="10">
        <f t="shared" si="22"/>
        <v>222.3</v>
      </c>
      <c r="F646" s="4"/>
    </row>
    <row r="647" ht="12.75" customHeight="1">
      <c r="A647" s="19" t="s">
        <v>1276</v>
      </c>
      <c r="B647" s="20" t="s">
        <v>1265</v>
      </c>
      <c r="C647" s="21">
        <v>24.0</v>
      </c>
      <c r="D647" s="10">
        <v>123.5</v>
      </c>
      <c r="E647" s="10">
        <f t="shared" si="22"/>
        <v>222.3</v>
      </c>
      <c r="F647" s="4"/>
    </row>
    <row r="648" ht="12.75" customHeight="1">
      <c r="A648" s="19" t="s">
        <v>1277</v>
      </c>
      <c r="B648" s="20" t="s">
        <v>1269</v>
      </c>
      <c r="C648" s="21">
        <v>24.0</v>
      </c>
      <c r="D648" s="10">
        <v>123.5</v>
      </c>
      <c r="E648" s="10">
        <f t="shared" si="22"/>
        <v>222.3</v>
      </c>
      <c r="F648" s="4"/>
    </row>
    <row r="649" ht="12.75" customHeight="1">
      <c r="A649" s="19" t="s">
        <v>1278</v>
      </c>
      <c r="B649" s="20" t="s">
        <v>1279</v>
      </c>
      <c r="C649" s="21">
        <v>36.0</v>
      </c>
      <c r="D649" s="10">
        <v>50.0</v>
      </c>
      <c r="E649" s="10">
        <f t="shared" si="22"/>
        <v>90</v>
      </c>
      <c r="F649" s="4"/>
    </row>
    <row r="650" ht="12.75" customHeight="1">
      <c r="A650" s="19" t="s">
        <v>1280</v>
      </c>
      <c r="B650" s="20" t="s">
        <v>1281</v>
      </c>
      <c r="C650" s="21">
        <v>24.0</v>
      </c>
      <c r="D650" s="10">
        <v>60.0</v>
      </c>
      <c r="E650" s="10">
        <f t="shared" si="22"/>
        <v>108</v>
      </c>
      <c r="F650" s="4"/>
    </row>
    <row r="651" ht="12.75" customHeight="1">
      <c r="A651" s="19" t="s">
        <v>1282</v>
      </c>
      <c r="B651" s="20" t="s">
        <v>1283</v>
      </c>
      <c r="C651" s="21">
        <v>12.0</v>
      </c>
      <c r="D651" s="10">
        <v>75.0</v>
      </c>
      <c r="E651" s="10">
        <f t="shared" si="22"/>
        <v>135</v>
      </c>
      <c r="F651" s="4"/>
    </row>
    <row r="652" ht="12.75" customHeight="1">
      <c r="A652" s="19" t="s">
        <v>1284</v>
      </c>
      <c r="B652" s="19" t="s">
        <v>1285</v>
      </c>
      <c r="C652" s="21">
        <v>12.0</v>
      </c>
      <c r="D652" s="10">
        <v>206.0</v>
      </c>
      <c r="E652" s="10">
        <f t="shared" si="22"/>
        <v>370.8</v>
      </c>
      <c r="F652" s="4"/>
    </row>
    <row r="653" ht="12.75" customHeight="1">
      <c r="A653" s="19" t="s">
        <v>1286</v>
      </c>
      <c r="B653" s="19" t="s">
        <v>1287</v>
      </c>
      <c r="C653" s="21">
        <v>4.0</v>
      </c>
      <c r="D653" s="10">
        <v>438.0</v>
      </c>
      <c r="E653" s="10">
        <f t="shared" si="22"/>
        <v>788.4</v>
      </c>
      <c r="F653" s="4"/>
    </row>
    <row r="654" ht="12.75" customHeight="1">
      <c r="A654" s="30" t="s">
        <v>1288</v>
      </c>
      <c r="B654" s="20" t="s">
        <v>1289</v>
      </c>
      <c r="C654" s="21">
        <v>300.0</v>
      </c>
      <c r="D654" s="10">
        <v>16.0</v>
      </c>
      <c r="E654" s="10">
        <f t="shared" si="22"/>
        <v>28.8</v>
      </c>
      <c r="F654" s="4"/>
    </row>
    <row r="655" ht="12.75" customHeight="1">
      <c r="A655" s="30" t="s">
        <v>1290</v>
      </c>
      <c r="B655" s="6" t="s">
        <v>1291</v>
      </c>
      <c r="C655" s="21">
        <v>300.0</v>
      </c>
      <c r="D655" s="10">
        <v>25.0</v>
      </c>
      <c r="E655" s="10">
        <f t="shared" si="22"/>
        <v>45</v>
      </c>
      <c r="F655" s="4"/>
    </row>
    <row r="656" ht="12.75" customHeight="1">
      <c r="A656" s="30" t="s">
        <v>1292</v>
      </c>
      <c r="B656" s="6" t="s">
        <v>1293</v>
      </c>
      <c r="C656" s="21">
        <v>300.0</v>
      </c>
      <c r="D656" s="10">
        <v>31.0</v>
      </c>
      <c r="E656" s="10">
        <f t="shared" si="22"/>
        <v>55.8</v>
      </c>
      <c r="F656" s="4"/>
    </row>
    <row r="657" ht="12.75" customHeight="1">
      <c r="A657" s="30" t="s">
        <v>1294</v>
      </c>
      <c r="B657" s="6" t="s">
        <v>1295</v>
      </c>
      <c r="C657" s="21">
        <v>300.0</v>
      </c>
      <c r="D657" s="10">
        <v>39.5</v>
      </c>
      <c r="E657" s="10">
        <f t="shared" si="22"/>
        <v>71.1</v>
      </c>
      <c r="F657" s="4"/>
    </row>
    <row r="658" ht="12.75" customHeight="1">
      <c r="A658" s="19" t="s">
        <v>1296</v>
      </c>
      <c r="B658" s="20" t="s">
        <v>1297</v>
      </c>
      <c r="C658" s="21">
        <v>120.0</v>
      </c>
      <c r="D658" s="10">
        <v>64.0</v>
      </c>
      <c r="E658" s="10">
        <f t="shared" si="22"/>
        <v>115.2</v>
      </c>
      <c r="F658" s="4"/>
    </row>
    <row r="659" ht="12.75" customHeight="1">
      <c r="A659" s="19" t="s">
        <v>1298</v>
      </c>
      <c r="B659" s="20" t="s">
        <v>1299</v>
      </c>
      <c r="C659" s="21">
        <v>120.0</v>
      </c>
      <c r="D659" s="10">
        <v>79.0</v>
      </c>
      <c r="E659" s="10">
        <f t="shared" si="22"/>
        <v>142.2</v>
      </c>
      <c r="F659" s="4"/>
    </row>
    <row r="660" ht="12.75" customHeight="1">
      <c r="A660" s="30">
        <v>215032.0</v>
      </c>
      <c r="B660" s="20" t="s">
        <v>1300</v>
      </c>
      <c r="C660" s="21">
        <v>1.0</v>
      </c>
      <c r="D660" s="10">
        <v>89.0</v>
      </c>
      <c r="E660" s="10">
        <f t="shared" ref="E660:E663" si="23">D660/0.6</f>
        <v>148.3333333</v>
      </c>
      <c r="F660" s="4"/>
    </row>
    <row r="661" ht="12.75" customHeight="1">
      <c r="A661" s="30">
        <v>222009.0</v>
      </c>
      <c r="B661" s="6" t="s">
        <v>1301</v>
      </c>
      <c r="C661" s="21">
        <v>1.0</v>
      </c>
      <c r="D661" s="10">
        <v>281.0</v>
      </c>
      <c r="E661" s="10">
        <f t="shared" si="23"/>
        <v>468.3333333</v>
      </c>
      <c r="F661" s="4"/>
    </row>
    <row r="662" ht="12.75" customHeight="1">
      <c r="A662" s="30">
        <v>413285.0</v>
      </c>
      <c r="B662" s="6" t="s">
        <v>1302</v>
      </c>
      <c r="C662" s="21">
        <v>1.0</v>
      </c>
      <c r="D662" s="10">
        <v>230.0</v>
      </c>
      <c r="E662" s="10">
        <f t="shared" si="23"/>
        <v>383.3333333</v>
      </c>
      <c r="F662" s="4"/>
    </row>
    <row r="663" ht="12.75" customHeight="1">
      <c r="A663" s="30">
        <v>413568.0</v>
      </c>
      <c r="B663" s="6" t="s">
        <v>1303</v>
      </c>
      <c r="C663" s="21">
        <v>1.0</v>
      </c>
      <c r="D663" s="10">
        <v>399.0</v>
      </c>
      <c r="E663" s="10">
        <f t="shared" si="23"/>
        <v>665</v>
      </c>
      <c r="F663" s="4"/>
    </row>
    <row r="664" ht="12.75" customHeight="1">
      <c r="A664" s="30">
        <v>414367.0</v>
      </c>
      <c r="B664" s="6" t="s">
        <v>1304</v>
      </c>
      <c r="C664" s="21">
        <v>1.0</v>
      </c>
      <c r="D664" s="10">
        <v>199.0</v>
      </c>
      <c r="E664" s="10">
        <f>D664/0.65</f>
        <v>306.1538462</v>
      </c>
      <c r="F664" s="4"/>
    </row>
    <row r="665" ht="12.75" customHeight="1">
      <c r="A665" s="30">
        <v>414565.0</v>
      </c>
      <c r="B665" s="6" t="s">
        <v>1305</v>
      </c>
      <c r="C665" s="21">
        <v>1.0</v>
      </c>
      <c r="D665" s="10">
        <v>371.0</v>
      </c>
      <c r="E665" s="10">
        <f t="shared" ref="E665:E666" si="24">D665/0.6</f>
        <v>618.3333333</v>
      </c>
      <c r="F665" s="4"/>
    </row>
    <row r="666" ht="12.75" customHeight="1">
      <c r="A666" s="30">
        <v>417368.0</v>
      </c>
      <c r="B666" s="6" t="s">
        <v>1306</v>
      </c>
      <c r="C666" s="21">
        <v>1.0</v>
      </c>
      <c r="D666" s="10">
        <v>277.0</v>
      </c>
      <c r="E666" s="10">
        <f t="shared" si="24"/>
        <v>461.6666667</v>
      </c>
      <c r="F666" s="4"/>
    </row>
    <row r="667" ht="12.75" customHeight="1">
      <c r="A667" s="30">
        <v>417566.0</v>
      </c>
      <c r="B667" s="6" t="s">
        <v>1307</v>
      </c>
      <c r="C667" s="21">
        <v>1.0</v>
      </c>
      <c r="D667" s="10">
        <v>520.0</v>
      </c>
      <c r="E667" s="10">
        <f>D667/0.65</f>
        <v>800</v>
      </c>
      <c r="F667" s="4"/>
    </row>
    <row r="668" ht="12.75" customHeight="1">
      <c r="A668" s="30">
        <v>416361.0</v>
      </c>
      <c r="B668" s="6" t="s">
        <v>1308</v>
      </c>
      <c r="C668" s="21">
        <v>1.0</v>
      </c>
      <c r="D668" s="10">
        <v>277.0</v>
      </c>
      <c r="E668" s="10">
        <f>D668/0.6</f>
        <v>461.6666667</v>
      </c>
      <c r="F668" s="4"/>
    </row>
    <row r="669" ht="12.75" customHeight="1">
      <c r="A669" s="30">
        <v>416569.0</v>
      </c>
      <c r="B669" s="6" t="s">
        <v>1309</v>
      </c>
      <c r="C669" s="21">
        <v>1.0</v>
      </c>
      <c r="D669" s="10">
        <v>520.0</v>
      </c>
      <c r="E669" s="10">
        <f>D669/0.65</f>
        <v>800</v>
      </c>
      <c r="F669" s="4"/>
    </row>
    <row r="670" ht="12.75" customHeight="1">
      <c r="A670" s="30">
        <v>415364.0</v>
      </c>
      <c r="B670" s="6" t="s">
        <v>1310</v>
      </c>
      <c r="C670" s="21">
        <v>1.0</v>
      </c>
      <c r="D670" s="10">
        <v>277.0</v>
      </c>
      <c r="E670" s="10">
        <f>D670/0.6</f>
        <v>461.6666667</v>
      </c>
      <c r="F670" s="4"/>
    </row>
    <row r="671" ht="12.75" customHeight="1">
      <c r="A671" s="9">
        <v>415562.0</v>
      </c>
      <c r="B671" s="6" t="s">
        <v>1311</v>
      </c>
      <c r="C671" s="7">
        <v>1.0</v>
      </c>
      <c r="D671" s="8">
        <v>520.0</v>
      </c>
      <c r="E671" s="10">
        <f>D671/0.65</f>
        <v>800</v>
      </c>
      <c r="F671" s="4"/>
    </row>
    <row r="672" ht="12.75" customHeight="1">
      <c r="A672" s="28" t="s">
        <v>1312</v>
      </c>
      <c r="B672" s="20" t="s">
        <v>1313</v>
      </c>
      <c r="C672" s="7">
        <v>1.0</v>
      </c>
      <c r="D672" s="8">
        <v>34.0</v>
      </c>
      <c r="E672" s="10">
        <f t="shared" ref="E672:E690" si="25">D672*2</f>
        <v>68</v>
      </c>
      <c r="F672" s="4"/>
    </row>
    <row r="673" ht="12.75" customHeight="1">
      <c r="A673" s="28" t="s">
        <v>1314</v>
      </c>
      <c r="B673" s="20" t="s">
        <v>1315</v>
      </c>
      <c r="C673" s="7">
        <v>1.0</v>
      </c>
      <c r="D673" s="8">
        <v>38.0</v>
      </c>
      <c r="E673" s="10">
        <f t="shared" si="25"/>
        <v>76</v>
      </c>
      <c r="F673" s="4"/>
    </row>
    <row r="674" ht="12.75" customHeight="1">
      <c r="A674" s="28" t="s">
        <v>1316</v>
      </c>
      <c r="B674" s="20" t="s">
        <v>1317</v>
      </c>
      <c r="C674" s="7">
        <v>1.0</v>
      </c>
      <c r="D674" s="8">
        <v>43.0</v>
      </c>
      <c r="E674" s="10">
        <f t="shared" si="25"/>
        <v>86</v>
      </c>
      <c r="F674" s="4"/>
    </row>
    <row r="675" ht="12.75" customHeight="1">
      <c r="A675" s="28" t="s">
        <v>1318</v>
      </c>
      <c r="B675" s="20" t="s">
        <v>1319</v>
      </c>
      <c r="C675" s="7">
        <v>1.0</v>
      </c>
      <c r="D675" s="8">
        <v>38.0</v>
      </c>
      <c r="E675" s="10">
        <f t="shared" si="25"/>
        <v>76</v>
      </c>
      <c r="F675" s="4"/>
    </row>
    <row r="676" ht="12.75" customHeight="1">
      <c r="A676" s="28" t="s">
        <v>1320</v>
      </c>
      <c r="B676" s="20" t="s">
        <v>1321</v>
      </c>
      <c r="C676" s="7">
        <v>1.0</v>
      </c>
      <c r="D676" s="8">
        <v>33.0</v>
      </c>
      <c r="E676" s="10">
        <f t="shared" si="25"/>
        <v>66</v>
      </c>
      <c r="F676" s="4"/>
    </row>
    <row r="677" ht="12.75" customHeight="1">
      <c r="A677" s="28" t="s">
        <v>1322</v>
      </c>
      <c r="B677" s="20" t="s">
        <v>1323</v>
      </c>
      <c r="C677" s="7">
        <v>1.0</v>
      </c>
      <c r="D677" s="8">
        <v>46.0</v>
      </c>
      <c r="E677" s="10">
        <f t="shared" si="25"/>
        <v>92</v>
      </c>
      <c r="F677" s="4"/>
    </row>
    <row r="678" ht="12.75" customHeight="1">
      <c r="A678" s="28" t="s">
        <v>1324</v>
      </c>
      <c r="B678" s="20" t="s">
        <v>1325</v>
      </c>
      <c r="C678" s="7">
        <v>1.0</v>
      </c>
      <c r="D678" s="8">
        <v>56.0</v>
      </c>
      <c r="E678" s="10">
        <f t="shared" si="25"/>
        <v>112</v>
      </c>
      <c r="F678" s="4"/>
    </row>
    <row r="679" ht="12.75" customHeight="1">
      <c r="A679" s="28" t="s">
        <v>1326</v>
      </c>
      <c r="B679" s="20" t="s">
        <v>1327</v>
      </c>
      <c r="C679" s="7">
        <v>1.0</v>
      </c>
      <c r="D679" s="8">
        <v>43.0</v>
      </c>
      <c r="E679" s="10">
        <f t="shared" si="25"/>
        <v>86</v>
      </c>
      <c r="F679" s="4"/>
    </row>
    <row r="680" ht="12.75" customHeight="1">
      <c r="A680" s="28" t="s">
        <v>1328</v>
      </c>
      <c r="B680" s="20" t="s">
        <v>1329</v>
      </c>
      <c r="C680" s="7">
        <v>1.0</v>
      </c>
      <c r="D680" s="8">
        <v>39.0</v>
      </c>
      <c r="E680" s="10">
        <f t="shared" si="25"/>
        <v>78</v>
      </c>
      <c r="F680" s="4"/>
    </row>
    <row r="681" ht="12.75" customHeight="1">
      <c r="A681" s="28" t="s">
        <v>1330</v>
      </c>
      <c r="B681" s="20" t="s">
        <v>1331</v>
      </c>
      <c r="C681" s="7">
        <v>1.0</v>
      </c>
      <c r="D681" s="8">
        <v>37.0</v>
      </c>
      <c r="E681" s="10">
        <f t="shared" si="25"/>
        <v>74</v>
      </c>
      <c r="F681" s="4"/>
    </row>
    <row r="682" ht="12.75" customHeight="1">
      <c r="A682" s="28" t="s">
        <v>1332</v>
      </c>
      <c r="B682" s="20" t="s">
        <v>1333</v>
      </c>
      <c r="C682" s="7">
        <v>1.0</v>
      </c>
      <c r="D682" s="8">
        <v>48.5</v>
      </c>
      <c r="E682" s="10">
        <f t="shared" si="25"/>
        <v>97</v>
      </c>
      <c r="F682" s="4"/>
    </row>
    <row r="683" ht="13.5" customHeight="1">
      <c r="A683" s="28" t="s">
        <v>1334</v>
      </c>
      <c r="B683" s="20" t="s">
        <v>1335</v>
      </c>
      <c r="C683" s="7">
        <v>1.0</v>
      </c>
      <c r="D683" s="8">
        <v>38.0</v>
      </c>
      <c r="E683" s="10">
        <f t="shared" si="25"/>
        <v>76</v>
      </c>
      <c r="F683" s="4"/>
    </row>
    <row r="684" ht="12.75" customHeight="1">
      <c r="A684" s="28" t="s">
        <v>1336</v>
      </c>
      <c r="B684" s="20" t="s">
        <v>1337</v>
      </c>
      <c r="C684" s="7">
        <v>1.0</v>
      </c>
      <c r="D684" s="8">
        <v>46.0</v>
      </c>
      <c r="E684" s="10">
        <f t="shared" si="25"/>
        <v>92</v>
      </c>
      <c r="F684" s="4"/>
    </row>
    <row r="685" ht="12.75" customHeight="1">
      <c r="A685" s="28" t="s">
        <v>1338</v>
      </c>
      <c r="B685" s="20" t="s">
        <v>1339</v>
      </c>
      <c r="C685" s="7">
        <v>1.0</v>
      </c>
      <c r="D685" s="8">
        <v>38.0</v>
      </c>
      <c r="E685" s="10">
        <f t="shared" si="25"/>
        <v>76</v>
      </c>
      <c r="F685" s="4"/>
    </row>
    <row r="686" ht="12.75" customHeight="1">
      <c r="A686" s="28" t="s">
        <v>1340</v>
      </c>
      <c r="B686" s="20" t="s">
        <v>1341</v>
      </c>
      <c r="C686" s="7">
        <v>1.0</v>
      </c>
      <c r="D686" s="8">
        <v>41.0</v>
      </c>
      <c r="E686" s="10">
        <f t="shared" si="25"/>
        <v>82</v>
      </c>
      <c r="F686" s="4"/>
    </row>
    <row r="687" ht="12.75" customHeight="1">
      <c r="A687" s="28" t="s">
        <v>1342</v>
      </c>
      <c r="B687" s="20" t="s">
        <v>1343</v>
      </c>
      <c r="C687" s="7">
        <v>1.0</v>
      </c>
      <c r="D687" s="8">
        <v>33.0</v>
      </c>
      <c r="E687" s="10">
        <f t="shared" si="25"/>
        <v>66</v>
      </c>
      <c r="F687" s="4"/>
    </row>
    <row r="688" ht="12.75" customHeight="1">
      <c r="A688" s="28" t="s">
        <v>1344</v>
      </c>
      <c r="B688" s="20" t="s">
        <v>1345</v>
      </c>
      <c r="C688" s="7">
        <v>1.0</v>
      </c>
      <c r="D688" s="8">
        <v>38.0</v>
      </c>
      <c r="E688" s="10">
        <f t="shared" si="25"/>
        <v>76</v>
      </c>
      <c r="F688" s="4"/>
    </row>
    <row r="689" ht="12.75" customHeight="1">
      <c r="A689" s="28" t="s">
        <v>1346</v>
      </c>
      <c r="B689" s="20" t="s">
        <v>1347</v>
      </c>
      <c r="C689" s="7">
        <v>1.0</v>
      </c>
      <c r="D689" s="8">
        <v>41.0</v>
      </c>
      <c r="E689" s="10">
        <f t="shared" si="25"/>
        <v>82</v>
      </c>
      <c r="F689" s="4"/>
    </row>
    <row r="690" ht="12.75" customHeight="1">
      <c r="A690" s="28" t="s">
        <v>1348</v>
      </c>
      <c r="B690" s="20" t="s">
        <v>1349</v>
      </c>
      <c r="C690" s="7">
        <v>1.0</v>
      </c>
      <c r="D690" s="8">
        <v>39.0</v>
      </c>
      <c r="E690" s="10">
        <f t="shared" si="25"/>
        <v>78</v>
      </c>
      <c r="F690" s="4"/>
    </row>
    <row r="691" ht="12.75" customHeight="1">
      <c r="A691" s="11" t="s">
        <v>1350</v>
      </c>
      <c r="B691" s="12" t="s">
        <v>1351</v>
      </c>
      <c r="C691" s="13">
        <v>20.0</v>
      </c>
      <c r="D691" s="8">
        <v>63.0</v>
      </c>
      <c r="E691" s="10">
        <f t="shared" ref="E691:E746" si="26">D691*1.8</f>
        <v>113.4</v>
      </c>
      <c r="F691" s="4"/>
    </row>
    <row r="692" ht="12.75" customHeight="1">
      <c r="A692" s="11" t="s">
        <v>1352</v>
      </c>
      <c r="B692" s="12" t="s">
        <v>1353</v>
      </c>
      <c r="C692" s="13">
        <v>12.0</v>
      </c>
      <c r="D692" s="8">
        <v>52.0</v>
      </c>
      <c r="E692" s="10">
        <f t="shared" si="26"/>
        <v>93.6</v>
      </c>
      <c r="F692" s="4"/>
    </row>
    <row r="693" ht="12.75" customHeight="1">
      <c r="A693" s="11" t="s">
        <v>1354</v>
      </c>
      <c r="B693" s="12" t="s">
        <v>1355</v>
      </c>
      <c r="C693" s="13">
        <v>30.0</v>
      </c>
      <c r="D693" s="8">
        <v>80.0</v>
      </c>
      <c r="E693" s="10">
        <f t="shared" si="26"/>
        <v>144</v>
      </c>
      <c r="F693" s="4"/>
    </row>
    <row r="694" ht="12.75" customHeight="1">
      <c r="A694" s="11" t="s">
        <v>1356</v>
      </c>
      <c r="B694" s="12" t="s">
        <v>1357</v>
      </c>
      <c r="C694" s="13">
        <v>6.0</v>
      </c>
      <c r="D694" s="8">
        <v>141.0</v>
      </c>
      <c r="E694" s="10">
        <f t="shared" si="26"/>
        <v>253.8</v>
      </c>
      <c r="F694" s="4"/>
    </row>
    <row r="695" ht="12.75" customHeight="1">
      <c r="A695" s="11" t="s">
        <v>1358</v>
      </c>
      <c r="B695" s="33" t="s">
        <v>1359</v>
      </c>
      <c r="C695" s="13">
        <v>96.0</v>
      </c>
      <c r="D695" s="8">
        <v>28.0</v>
      </c>
      <c r="E695" s="10">
        <f t="shared" si="26"/>
        <v>50.4</v>
      </c>
      <c r="F695" s="4"/>
      <c r="G695" s="22"/>
      <c r="H695" s="22"/>
    </row>
    <row r="696" ht="12.75" customHeight="1">
      <c r="A696" s="11" t="s">
        <v>1360</v>
      </c>
      <c r="B696" s="33" t="s">
        <v>1361</v>
      </c>
      <c r="C696" s="13">
        <v>96.0</v>
      </c>
      <c r="D696" s="8">
        <v>39.0</v>
      </c>
      <c r="E696" s="10">
        <f t="shared" si="26"/>
        <v>70.2</v>
      </c>
      <c r="F696" s="4"/>
      <c r="G696" s="22"/>
      <c r="H696" s="22"/>
    </row>
    <row r="697" ht="12.75" customHeight="1">
      <c r="A697" s="11" t="s">
        <v>1362</v>
      </c>
      <c r="B697" s="33" t="s">
        <v>1363</v>
      </c>
      <c r="C697" s="13">
        <v>60.0</v>
      </c>
      <c r="D697" s="8">
        <v>53.0</v>
      </c>
      <c r="E697" s="10">
        <f t="shared" si="26"/>
        <v>95.4</v>
      </c>
      <c r="F697" s="4"/>
      <c r="G697" s="22"/>
      <c r="H697" s="22"/>
    </row>
    <row r="698" ht="12.75" customHeight="1">
      <c r="A698" s="11" t="s">
        <v>1364</v>
      </c>
      <c r="B698" s="33" t="s">
        <v>1365</v>
      </c>
      <c r="C698" s="13">
        <v>60.0</v>
      </c>
      <c r="D698" s="8">
        <v>60.0</v>
      </c>
      <c r="E698" s="10">
        <f t="shared" si="26"/>
        <v>108</v>
      </c>
      <c r="F698" s="4"/>
      <c r="G698" s="22"/>
      <c r="H698" s="22"/>
    </row>
    <row r="699" ht="12.75" customHeight="1">
      <c r="A699" s="19" t="s">
        <v>1366</v>
      </c>
      <c r="B699" s="27" t="s">
        <v>1367</v>
      </c>
      <c r="C699" s="21">
        <v>12.0</v>
      </c>
      <c r="D699" s="10">
        <v>50.0</v>
      </c>
      <c r="E699" s="10">
        <f t="shared" si="26"/>
        <v>90</v>
      </c>
      <c r="F699" s="4"/>
      <c r="G699" s="22"/>
      <c r="H699" s="22"/>
    </row>
    <row r="700" ht="12.75" customHeight="1">
      <c r="A700" s="19" t="s">
        <v>1368</v>
      </c>
      <c r="B700" s="27" t="s">
        <v>1369</v>
      </c>
      <c r="C700" s="21">
        <v>12.0</v>
      </c>
      <c r="D700" s="10">
        <v>47.0</v>
      </c>
      <c r="E700" s="10">
        <f t="shared" si="26"/>
        <v>84.6</v>
      </c>
      <c r="F700" s="4"/>
      <c r="G700" s="22"/>
    </row>
    <row r="701" ht="12.75" customHeight="1">
      <c r="A701" s="19" t="s">
        <v>1370</v>
      </c>
      <c r="B701" s="27" t="s">
        <v>1371</v>
      </c>
      <c r="C701" s="21">
        <v>24.0</v>
      </c>
      <c r="D701" s="10">
        <v>42.0</v>
      </c>
      <c r="E701" s="10">
        <f t="shared" si="26"/>
        <v>75.6</v>
      </c>
      <c r="F701" s="4"/>
      <c r="G701" s="22"/>
    </row>
    <row r="702" ht="12.75" customHeight="1">
      <c r="A702" s="19" t="s">
        <v>1372</v>
      </c>
      <c r="B702" s="27" t="s">
        <v>1373</v>
      </c>
      <c r="C702" s="21">
        <v>32.0</v>
      </c>
      <c r="D702" s="10">
        <v>47.0</v>
      </c>
      <c r="E702" s="10">
        <f t="shared" si="26"/>
        <v>84.6</v>
      </c>
      <c r="F702" s="4"/>
      <c r="G702" s="22"/>
    </row>
    <row r="703" ht="12.75" customHeight="1">
      <c r="A703" s="19" t="s">
        <v>1374</v>
      </c>
      <c r="B703" s="27" t="s">
        <v>1371</v>
      </c>
      <c r="C703" s="21">
        <v>24.0</v>
      </c>
      <c r="D703" s="10">
        <v>42.0</v>
      </c>
      <c r="E703" s="10">
        <f t="shared" si="26"/>
        <v>75.6</v>
      </c>
      <c r="F703" s="4"/>
      <c r="G703" s="22"/>
    </row>
    <row r="704" ht="12.75" customHeight="1">
      <c r="A704" s="19" t="s">
        <v>1375</v>
      </c>
      <c r="B704" s="27" t="s">
        <v>1376</v>
      </c>
      <c r="C704" s="21">
        <v>12.0</v>
      </c>
      <c r="D704" s="10">
        <v>40.0</v>
      </c>
      <c r="E704" s="10">
        <f t="shared" si="26"/>
        <v>72</v>
      </c>
      <c r="F704" s="4"/>
      <c r="G704" s="22"/>
    </row>
    <row r="705" ht="12.75" customHeight="1">
      <c r="A705" s="19" t="s">
        <v>1377</v>
      </c>
      <c r="B705" s="27" t="s">
        <v>1378</v>
      </c>
      <c r="C705" s="21">
        <v>12.0</v>
      </c>
      <c r="D705" s="10">
        <v>125.0</v>
      </c>
      <c r="E705" s="10">
        <f t="shared" si="26"/>
        <v>225</v>
      </c>
      <c r="F705" s="4"/>
      <c r="G705" s="22"/>
      <c r="H705" s="22"/>
      <c r="I705" s="22"/>
    </row>
    <row r="706" ht="12.75" customHeight="1">
      <c r="A706" s="19" t="s">
        <v>1379</v>
      </c>
      <c r="B706" s="27" t="s">
        <v>1380</v>
      </c>
      <c r="C706" s="21">
        <v>12.0</v>
      </c>
      <c r="D706" s="10">
        <v>125.0</v>
      </c>
      <c r="E706" s="10">
        <f t="shared" si="26"/>
        <v>225</v>
      </c>
      <c r="F706" s="4"/>
      <c r="G706" s="22"/>
      <c r="H706" s="22"/>
      <c r="I706" s="22"/>
    </row>
    <row r="707" ht="12.75" customHeight="1">
      <c r="A707" s="19" t="s">
        <v>1381</v>
      </c>
      <c r="B707" s="27" t="s">
        <v>1382</v>
      </c>
      <c r="C707" s="21">
        <v>6.0</v>
      </c>
      <c r="D707" s="10">
        <v>125.0</v>
      </c>
      <c r="E707" s="10">
        <f t="shared" si="26"/>
        <v>225</v>
      </c>
      <c r="F707" s="4"/>
      <c r="G707" s="22"/>
      <c r="H707" s="22"/>
      <c r="I707" s="22"/>
    </row>
    <row r="708" ht="12.75" customHeight="1">
      <c r="A708" s="19" t="s">
        <v>1383</v>
      </c>
      <c r="B708" s="27" t="s">
        <v>1384</v>
      </c>
      <c r="C708" s="21">
        <v>9.0</v>
      </c>
      <c r="D708" s="10">
        <v>138.0</v>
      </c>
      <c r="E708" s="10">
        <f t="shared" si="26"/>
        <v>248.4</v>
      </c>
      <c r="F708" s="4"/>
      <c r="G708" s="22"/>
      <c r="H708" s="22"/>
      <c r="I708" s="22"/>
    </row>
    <row r="709" ht="12.75" customHeight="1">
      <c r="A709" s="19" t="s">
        <v>1385</v>
      </c>
      <c r="B709" s="27" t="s">
        <v>1386</v>
      </c>
      <c r="C709" s="21">
        <v>9.0</v>
      </c>
      <c r="D709" s="10">
        <v>121.5</v>
      </c>
      <c r="E709" s="10">
        <f t="shared" si="26"/>
        <v>218.7</v>
      </c>
      <c r="F709" s="4"/>
      <c r="G709" s="22"/>
      <c r="H709" s="22"/>
      <c r="I709" s="22"/>
    </row>
    <row r="710" ht="12.75" customHeight="1">
      <c r="A710" s="19" t="s">
        <v>1387</v>
      </c>
      <c r="B710" s="27" t="s">
        <v>1388</v>
      </c>
      <c r="C710" s="21">
        <v>12.0</v>
      </c>
      <c r="D710" s="10">
        <v>109.0</v>
      </c>
      <c r="E710" s="10">
        <f t="shared" si="26"/>
        <v>196.2</v>
      </c>
      <c r="F710" s="4"/>
      <c r="G710" s="22"/>
      <c r="H710" s="22"/>
      <c r="I710" s="22"/>
    </row>
    <row r="711" ht="12.75" customHeight="1">
      <c r="A711" s="19" t="s">
        <v>1389</v>
      </c>
      <c r="B711" s="27" t="s">
        <v>1390</v>
      </c>
      <c r="C711" s="21">
        <v>9.0</v>
      </c>
      <c r="D711" s="10">
        <v>137.0</v>
      </c>
      <c r="E711" s="10">
        <f t="shared" si="26"/>
        <v>246.6</v>
      </c>
      <c r="F711" s="4"/>
      <c r="G711" s="22"/>
      <c r="H711" s="22"/>
      <c r="I711" s="22"/>
    </row>
    <row r="712" ht="12.75" customHeight="1">
      <c r="A712" s="19" t="s">
        <v>1391</v>
      </c>
      <c r="B712" s="27" t="s">
        <v>1388</v>
      </c>
      <c r="C712" s="21">
        <v>24.0</v>
      </c>
      <c r="D712" s="10">
        <v>55.0</v>
      </c>
      <c r="E712" s="10">
        <f t="shared" si="26"/>
        <v>99</v>
      </c>
      <c r="F712" s="4"/>
      <c r="G712" s="22"/>
      <c r="H712" s="22"/>
      <c r="I712" s="22"/>
    </row>
    <row r="713" ht="12.75" customHeight="1">
      <c r="A713" s="19" t="s">
        <v>1392</v>
      </c>
      <c r="B713" s="27" t="s">
        <v>1393</v>
      </c>
      <c r="C713" s="21">
        <v>24.0</v>
      </c>
      <c r="D713" s="10">
        <v>68.0</v>
      </c>
      <c r="E713" s="10">
        <f t="shared" si="26"/>
        <v>122.4</v>
      </c>
      <c r="F713" s="4"/>
      <c r="G713" s="22"/>
      <c r="H713" s="22"/>
      <c r="I713" s="22"/>
    </row>
    <row r="714" ht="12.75" customHeight="1">
      <c r="A714" s="19" t="s">
        <v>1394</v>
      </c>
      <c r="B714" s="27" t="s">
        <v>1388</v>
      </c>
      <c r="C714" s="21">
        <v>9.0</v>
      </c>
      <c r="D714" s="10">
        <v>138.0</v>
      </c>
      <c r="E714" s="10">
        <f t="shared" si="26"/>
        <v>248.4</v>
      </c>
      <c r="F714" s="4"/>
      <c r="G714" s="22"/>
      <c r="H714" s="22"/>
      <c r="I714" s="22"/>
    </row>
    <row r="715" ht="12.75" customHeight="1">
      <c r="A715" s="19" t="s">
        <v>1395</v>
      </c>
      <c r="B715" s="27" t="s">
        <v>1388</v>
      </c>
      <c r="C715" s="21">
        <v>9.0</v>
      </c>
      <c r="D715" s="10">
        <v>138.0</v>
      </c>
      <c r="E715" s="10">
        <f t="shared" si="26"/>
        <v>248.4</v>
      </c>
      <c r="F715" s="4"/>
      <c r="G715" s="22"/>
      <c r="H715" s="22"/>
      <c r="I715" s="22"/>
    </row>
    <row r="716" ht="12.75" customHeight="1">
      <c r="A716" s="19" t="s">
        <v>1396</v>
      </c>
      <c r="B716" s="27" t="s">
        <v>1397</v>
      </c>
      <c r="C716" s="21">
        <v>4.0</v>
      </c>
      <c r="D716" s="10">
        <v>161.0</v>
      </c>
      <c r="E716" s="10">
        <f t="shared" si="26"/>
        <v>289.8</v>
      </c>
      <c r="F716" s="4"/>
      <c r="G716" s="22"/>
      <c r="H716" s="22"/>
      <c r="I716" s="22"/>
    </row>
    <row r="717" ht="12.75" customHeight="1">
      <c r="A717" s="19" t="s">
        <v>1398</v>
      </c>
      <c r="B717" s="27" t="s">
        <v>1399</v>
      </c>
      <c r="C717" s="21">
        <v>100.0</v>
      </c>
      <c r="D717" s="10">
        <v>17.0</v>
      </c>
      <c r="E717" s="10">
        <f t="shared" si="26"/>
        <v>30.6</v>
      </c>
      <c r="F717" s="4"/>
      <c r="G717" s="22"/>
      <c r="H717" s="22"/>
    </row>
    <row r="718" ht="12.75" customHeight="1">
      <c r="A718" s="19" t="s">
        <v>1400</v>
      </c>
      <c r="B718" s="27" t="s">
        <v>1401</v>
      </c>
      <c r="C718" s="21">
        <v>100.0</v>
      </c>
      <c r="D718" s="10">
        <v>17.0</v>
      </c>
      <c r="E718" s="10">
        <f t="shared" si="26"/>
        <v>30.6</v>
      </c>
      <c r="F718" s="4"/>
      <c r="G718" s="22"/>
      <c r="H718" s="22"/>
    </row>
    <row r="719" ht="12.75" customHeight="1">
      <c r="A719" s="19" t="s">
        <v>1402</v>
      </c>
      <c r="B719" s="27" t="s">
        <v>1403</v>
      </c>
      <c r="C719" s="21">
        <v>100.0</v>
      </c>
      <c r="D719" s="10">
        <v>17.0</v>
      </c>
      <c r="E719" s="10">
        <f t="shared" si="26"/>
        <v>30.6</v>
      </c>
      <c r="F719" s="4"/>
      <c r="G719" s="22"/>
      <c r="H719" s="22"/>
    </row>
    <row r="720" ht="12.75" customHeight="1">
      <c r="A720" s="19" t="s">
        <v>1404</v>
      </c>
      <c r="B720" s="27" t="s">
        <v>1405</v>
      </c>
      <c r="C720" s="21">
        <v>100.0</v>
      </c>
      <c r="D720" s="10">
        <v>17.0</v>
      </c>
      <c r="E720" s="10">
        <f t="shared" si="26"/>
        <v>30.6</v>
      </c>
      <c r="F720" s="4"/>
      <c r="G720" s="22"/>
      <c r="H720" s="22"/>
    </row>
    <row r="721" ht="12.75" customHeight="1">
      <c r="A721" s="19" t="s">
        <v>1406</v>
      </c>
      <c r="B721" s="27" t="s">
        <v>1407</v>
      </c>
      <c r="C721" s="21">
        <v>100.0</v>
      </c>
      <c r="D721" s="10">
        <v>35.0</v>
      </c>
      <c r="E721" s="10">
        <f t="shared" si="26"/>
        <v>63</v>
      </c>
      <c r="F721" s="4"/>
      <c r="G721" s="22"/>
      <c r="H721" s="22"/>
    </row>
    <row r="722" ht="12.75" customHeight="1">
      <c r="A722" s="19" t="s">
        <v>1408</v>
      </c>
      <c r="B722" s="27" t="s">
        <v>1409</v>
      </c>
      <c r="C722" s="21">
        <v>100.0</v>
      </c>
      <c r="D722" s="10">
        <v>17.0</v>
      </c>
      <c r="E722" s="10">
        <f t="shared" si="26"/>
        <v>30.6</v>
      </c>
      <c r="F722" s="4"/>
      <c r="G722" s="22"/>
      <c r="H722" s="22"/>
    </row>
    <row r="723" ht="12.75" customHeight="1">
      <c r="A723" s="19" t="s">
        <v>1410</v>
      </c>
      <c r="B723" s="27" t="s">
        <v>1411</v>
      </c>
      <c r="C723" s="21">
        <v>100.0</v>
      </c>
      <c r="D723" s="10">
        <v>23.0</v>
      </c>
      <c r="E723" s="10">
        <f t="shared" si="26"/>
        <v>41.4</v>
      </c>
      <c r="F723" s="4"/>
      <c r="G723" s="22"/>
      <c r="H723" s="22"/>
    </row>
    <row r="724" ht="12.75" customHeight="1">
      <c r="A724" s="19" t="s">
        <v>1412</v>
      </c>
      <c r="B724" s="27" t="s">
        <v>1413</v>
      </c>
      <c r="C724" s="21">
        <v>100.0</v>
      </c>
      <c r="D724" s="10">
        <v>28.0</v>
      </c>
      <c r="E724" s="10">
        <f t="shared" si="26"/>
        <v>50.4</v>
      </c>
      <c r="F724" s="4"/>
      <c r="G724" s="22"/>
      <c r="H724" s="22"/>
    </row>
    <row r="725" ht="12.75" customHeight="1">
      <c r="A725" s="19" t="s">
        <v>1414</v>
      </c>
      <c r="B725" s="27" t="s">
        <v>1415</v>
      </c>
      <c r="C725" s="21">
        <v>100.0</v>
      </c>
      <c r="D725" s="10">
        <v>28.0</v>
      </c>
      <c r="E725" s="10">
        <f t="shared" si="26"/>
        <v>50.4</v>
      </c>
      <c r="F725" s="4"/>
      <c r="G725" s="22"/>
      <c r="H725" s="22"/>
    </row>
    <row r="726" ht="12.75" customHeight="1">
      <c r="A726" s="9" t="s">
        <v>1416</v>
      </c>
      <c r="B726" s="20" t="s">
        <v>1417</v>
      </c>
      <c r="C726" s="7">
        <v>1.0</v>
      </c>
      <c r="D726" s="8">
        <v>244.0</v>
      </c>
      <c r="E726" s="10">
        <f t="shared" si="26"/>
        <v>439.2</v>
      </c>
      <c r="F726" s="4"/>
    </row>
    <row r="727" ht="12.75" customHeight="1">
      <c r="A727" s="28" t="s">
        <v>1418</v>
      </c>
      <c r="B727" s="20" t="s">
        <v>1419</v>
      </c>
      <c r="C727" s="7">
        <v>1.0</v>
      </c>
      <c r="D727" s="8">
        <v>221.0</v>
      </c>
      <c r="E727" s="10">
        <f t="shared" si="26"/>
        <v>397.8</v>
      </c>
      <c r="F727" s="4"/>
    </row>
    <row r="728" ht="12.75" customHeight="1">
      <c r="A728" s="28" t="s">
        <v>1420</v>
      </c>
      <c r="B728" s="20" t="s">
        <v>1419</v>
      </c>
      <c r="C728" s="7">
        <v>1.0</v>
      </c>
      <c r="D728" s="8">
        <v>221.0</v>
      </c>
      <c r="E728" s="10">
        <f t="shared" si="26"/>
        <v>397.8</v>
      </c>
      <c r="F728" s="4"/>
    </row>
    <row r="729" ht="12.75" customHeight="1">
      <c r="A729" s="28" t="s">
        <v>1421</v>
      </c>
      <c r="B729" s="20" t="s">
        <v>1422</v>
      </c>
      <c r="C729" s="7">
        <v>1.0</v>
      </c>
      <c r="D729" s="8">
        <v>221.0</v>
      </c>
      <c r="E729" s="10">
        <f t="shared" si="26"/>
        <v>397.8</v>
      </c>
      <c r="F729" s="4"/>
    </row>
    <row r="730" ht="12.75" customHeight="1">
      <c r="A730" s="28" t="s">
        <v>1423</v>
      </c>
      <c r="B730" s="20" t="s">
        <v>1422</v>
      </c>
      <c r="C730" s="7">
        <v>1.0</v>
      </c>
      <c r="D730" s="8">
        <v>244.0</v>
      </c>
      <c r="E730" s="10">
        <f t="shared" si="26"/>
        <v>439.2</v>
      </c>
      <c r="F730" s="4"/>
    </row>
    <row r="731" ht="12.75" customHeight="1">
      <c r="A731" s="28" t="s">
        <v>1424</v>
      </c>
      <c r="B731" s="20" t="s">
        <v>1425</v>
      </c>
      <c r="C731" s="7">
        <v>1.0</v>
      </c>
      <c r="D731" s="8">
        <v>299.5</v>
      </c>
      <c r="E731" s="10">
        <f t="shared" si="26"/>
        <v>539.1</v>
      </c>
      <c r="F731" s="4"/>
    </row>
    <row r="732" ht="12.75" customHeight="1">
      <c r="A732" s="28" t="s">
        <v>1426</v>
      </c>
      <c r="B732" s="20" t="s">
        <v>1425</v>
      </c>
      <c r="C732" s="7">
        <v>1.0</v>
      </c>
      <c r="D732" s="8">
        <v>299.5</v>
      </c>
      <c r="E732" s="10">
        <f t="shared" si="26"/>
        <v>539.1</v>
      </c>
      <c r="F732" s="4"/>
    </row>
    <row r="733" ht="13.5" customHeight="1">
      <c r="A733" s="28" t="s">
        <v>1427</v>
      </c>
      <c r="B733" s="20" t="s">
        <v>1425</v>
      </c>
      <c r="C733" s="7">
        <v>1.0</v>
      </c>
      <c r="D733" s="8">
        <v>299.5</v>
      </c>
      <c r="E733" s="10">
        <f t="shared" si="26"/>
        <v>539.1</v>
      </c>
      <c r="F733" s="4"/>
    </row>
    <row r="734" ht="12.75" customHeight="1">
      <c r="A734" s="28" t="s">
        <v>1428</v>
      </c>
      <c r="B734" s="20" t="s">
        <v>1429</v>
      </c>
      <c r="C734" s="7">
        <v>1.0</v>
      </c>
      <c r="D734" s="8">
        <v>317.0</v>
      </c>
      <c r="E734" s="10">
        <f t="shared" si="26"/>
        <v>570.6</v>
      </c>
      <c r="F734" s="4"/>
    </row>
    <row r="735" ht="12.75" customHeight="1">
      <c r="A735" s="28" t="s">
        <v>1430</v>
      </c>
      <c r="B735" s="20" t="s">
        <v>1419</v>
      </c>
      <c r="C735" s="7">
        <v>1.0</v>
      </c>
      <c r="D735" s="8">
        <v>259.0</v>
      </c>
      <c r="E735" s="10">
        <f t="shared" si="26"/>
        <v>466.2</v>
      </c>
      <c r="F735" s="4"/>
    </row>
    <row r="736" ht="12.75" customHeight="1">
      <c r="A736" s="28" t="s">
        <v>1431</v>
      </c>
      <c r="B736" s="20" t="s">
        <v>1432</v>
      </c>
      <c r="C736" s="7">
        <v>1.0</v>
      </c>
      <c r="D736" s="8">
        <v>764.0</v>
      </c>
      <c r="E736" s="10">
        <f t="shared" si="26"/>
        <v>1375.2</v>
      </c>
      <c r="F736" s="4"/>
    </row>
    <row r="737" ht="12.75" customHeight="1">
      <c r="A737" s="28" t="s">
        <v>1433</v>
      </c>
      <c r="B737" s="20" t="s">
        <v>1434</v>
      </c>
      <c r="C737" s="7">
        <v>1.0</v>
      </c>
      <c r="D737" s="8">
        <v>698.0</v>
      </c>
      <c r="E737" s="10">
        <f t="shared" si="26"/>
        <v>1256.4</v>
      </c>
      <c r="F737" s="4"/>
    </row>
    <row r="738" ht="12.75" customHeight="1">
      <c r="A738" s="28" t="s">
        <v>1435</v>
      </c>
      <c r="B738" s="20" t="s">
        <v>1436</v>
      </c>
      <c r="C738" s="7">
        <v>1.0</v>
      </c>
      <c r="D738" s="8">
        <v>725.0</v>
      </c>
      <c r="E738" s="10">
        <f t="shared" si="26"/>
        <v>1305</v>
      </c>
      <c r="F738" s="4"/>
    </row>
    <row r="739" ht="12.75" customHeight="1">
      <c r="A739" s="28" t="s">
        <v>1437</v>
      </c>
      <c r="B739" s="20" t="s">
        <v>1438</v>
      </c>
      <c r="C739" s="7">
        <v>1.0</v>
      </c>
      <c r="D739" s="8">
        <v>716.0</v>
      </c>
      <c r="E739" s="10">
        <f t="shared" si="26"/>
        <v>1288.8</v>
      </c>
      <c r="F739" s="4"/>
    </row>
    <row r="740" ht="12.75" customHeight="1">
      <c r="A740" s="28" t="s">
        <v>1439</v>
      </c>
      <c r="B740" s="20" t="s">
        <v>1440</v>
      </c>
      <c r="C740" s="7">
        <v>1.0</v>
      </c>
      <c r="D740" s="8">
        <v>1135.0</v>
      </c>
      <c r="E740" s="10">
        <f t="shared" si="26"/>
        <v>2043</v>
      </c>
      <c r="F740" s="4"/>
    </row>
    <row r="741" ht="12.75" customHeight="1">
      <c r="A741" s="28" t="s">
        <v>1441</v>
      </c>
      <c r="B741" s="20" t="s">
        <v>1442</v>
      </c>
      <c r="C741" s="7">
        <v>1.0</v>
      </c>
      <c r="D741" s="8">
        <v>3623.0</v>
      </c>
      <c r="E741" s="10">
        <f t="shared" si="26"/>
        <v>6521.4</v>
      </c>
      <c r="F741" s="4"/>
    </row>
    <row r="742" ht="12.75" customHeight="1">
      <c r="A742" s="28" t="s">
        <v>1443</v>
      </c>
      <c r="B742" s="20" t="s">
        <v>1444</v>
      </c>
      <c r="C742" s="7">
        <v>1.0</v>
      </c>
      <c r="D742" s="8">
        <v>320.0</v>
      </c>
      <c r="E742" s="10">
        <f t="shared" si="26"/>
        <v>576</v>
      </c>
      <c r="F742" s="4"/>
    </row>
    <row r="743" ht="12.75" customHeight="1">
      <c r="A743" s="28" t="s">
        <v>1445</v>
      </c>
      <c r="B743" s="20" t="s">
        <v>1446</v>
      </c>
      <c r="C743" s="7">
        <v>1.0</v>
      </c>
      <c r="D743" s="8">
        <v>370.0</v>
      </c>
      <c r="E743" s="10">
        <f t="shared" si="26"/>
        <v>666</v>
      </c>
      <c r="F743" s="4"/>
    </row>
    <row r="744" ht="12.75" customHeight="1">
      <c r="A744" s="28" t="s">
        <v>1447</v>
      </c>
      <c r="B744" s="20" t="s">
        <v>1448</v>
      </c>
      <c r="C744" s="7">
        <v>1.0</v>
      </c>
      <c r="D744" s="8">
        <v>611.0</v>
      </c>
      <c r="E744" s="10">
        <f t="shared" si="26"/>
        <v>1099.8</v>
      </c>
      <c r="F744" s="4"/>
    </row>
    <row r="745" ht="12.75" customHeight="1">
      <c r="A745" s="28" t="s">
        <v>1449</v>
      </c>
      <c r="B745" s="20" t="s">
        <v>1450</v>
      </c>
      <c r="C745" s="7">
        <v>1.0</v>
      </c>
      <c r="D745" s="8">
        <v>4989.0</v>
      </c>
      <c r="E745" s="10">
        <f t="shared" si="26"/>
        <v>8980.2</v>
      </c>
      <c r="F745" s="4"/>
    </row>
    <row r="746" ht="12.75" customHeight="1">
      <c r="A746" s="29" t="s">
        <v>1451</v>
      </c>
      <c r="B746" s="20" t="s">
        <v>1452</v>
      </c>
      <c r="C746" s="21">
        <v>1.0</v>
      </c>
      <c r="D746" s="10">
        <v>6089.0</v>
      </c>
      <c r="E746" s="10">
        <f t="shared" si="26"/>
        <v>10960.2</v>
      </c>
      <c r="F746" s="4"/>
    </row>
    <row r="747" ht="12.75" customHeight="1">
      <c r="A747" s="23"/>
      <c r="B747" s="23"/>
      <c r="C747" s="34"/>
      <c r="D747" s="35"/>
      <c r="E747" s="35"/>
      <c r="F747" s="4"/>
    </row>
    <row r="748" ht="12.75" customHeight="1">
      <c r="A748" s="23"/>
      <c r="B748" s="23"/>
      <c r="C748" s="34"/>
      <c r="D748" s="35"/>
      <c r="E748" s="35"/>
      <c r="F748" s="4"/>
    </row>
    <row r="749" ht="12.75" customHeight="1">
      <c r="A749" s="23"/>
      <c r="B749" s="23"/>
      <c r="C749" s="34"/>
      <c r="D749" s="35"/>
      <c r="E749" s="35"/>
      <c r="F749" s="4"/>
    </row>
    <row r="750" ht="12.75" customHeight="1">
      <c r="A750" s="23"/>
      <c r="B750" s="23"/>
      <c r="C750" s="34"/>
      <c r="D750" s="35"/>
      <c r="E750" s="35"/>
      <c r="F750" s="4"/>
    </row>
    <row r="751" ht="12.75" customHeight="1">
      <c r="A751" s="23"/>
      <c r="B751" s="23"/>
      <c r="C751" s="34"/>
      <c r="D751" s="35"/>
      <c r="E751" s="35"/>
      <c r="F751" s="4"/>
    </row>
    <row r="752" ht="12.75" customHeight="1">
      <c r="A752" s="23"/>
      <c r="B752" s="23"/>
      <c r="C752" s="34"/>
      <c r="D752" s="35"/>
      <c r="E752" s="35"/>
      <c r="F752" s="4"/>
    </row>
    <row r="753" ht="12.75" customHeight="1">
      <c r="A753" s="23"/>
      <c r="B753" s="23"/>
      <c r="C753" s="34"/>
      <c r="D753" s="35"/>
      <c r="E753" s="35"/>
      <c r="F753" s="4"/>
    </row>
    <row r="754" ht="12.75" customHeight="1">
      <c r="A754" s="23"/>
      <c r="B754" s="23"/>
      <c r="C754" s="34"/>
      <c r="D754" s="35"/>
      <c r="E754" s="35"/>
      <c r="F754" s="4"/>
    </row>
    <row r="755" ht="12.75" customHeight="1">
      <c r="A755" s="23"/>
      <c r="B755" s="23"/>
      <c r="C755" s="34"/>
      <c r="D755" s="35"/>
      <c r="E755" s="35"/>
      <c r="F755" s="4"/>
    </row>
    <row r="756" ht="12.75" customHeight="1">
      <c r="A756" s="23"/>
      <c r="B756" s="23"/>
      <c r="C756" s="34"/>
      <c r="D756" s="35"/>
      <c r="E756" s="35"/>
      <c r="F756" s="4"/>
    </row>
    <row r="757" ht="12.75" customHeight="1">
      <c r="A757" s="23"/>
      <c r="B757" s="23"/>
      <c r="C757" s="34"/>
      <c r="D757" s="35"/>
      <c r="E757" s="35"/>
      <c r="F757" s="4"/>
    </row>
    <row r="758" ht="12.75" customHeight="1">
      <c r="A758" s="23"/>
      <c r="B758" s="23"/>
      <c r="C758" s="34"/>
      <c r="D758" s="35"/>
      <c r="E758" s="35"/>
      <c r="F758" s="4"/>
    </row>
    <row r="759" ht="12.75" customHeight="1">
      <c r="A759" s="23"/>
      <c r="B759" s="23"/>
      <c r="C759" s="34"/>
      <c r="D759" s="35"/>
      <c r="E759" s="35"/>
      <c r="F759" s="4"/>
    </row>
    <row r="760" ht="12.75" customHeight="1">
      <c r="A760" s="23"/>
      <c r="B760" s="23"/>
      <c r="C760" s="34"/>
      <c r="D760" s="35"/>
      <c r="E760" s="35"/>
      <c r="F760" s="4"/>
    </row>
    <row r="761" ht="12.75" customHeight="1">
      <c r="A761" s="23"/>
      <c r="B761" s="23"/>
      <c r="C761" s="34"/>
      <c r="D761" s="35"/>
      <c r="E761" s="35"/>
      <c r="F761" s="4"/>
    </row>
    <row r="762" ht="12.75" customHeight="1">
      <c r="A762" s="23"/>
      <c r="B762" s="23"/>
      <c r="C762" s="34"/>
      <c r="D762" s="35"/>
      <c r="E762" s="35"/>
      <c r="F762" s="4"/>
    </row>
    <row r="763" ht="12.75" customHeight="1">
      <c r="A763" s="23"/>
      <c r="B763" s="23"/>
      <c r="C763" s="34"/>
      <c r="D763" s="35"/>
      <c r="E763" s="35"/>
      <c r="F763" s="4"/>
    </row>
    <row r="764" ht="12.75" customHeight="1">
      <c r="A764" s="23"/>
      <c r="B764" s="23"/>
      <c r="C764" s="34"/>
      <c r="D764" s="35"/>
      <c r="E764" s="35"/>
      <c r="F764" s="4"/>
    </row>
    <row r="765" ht="12.75" customHeight="1">
      <c r="A765" s="23"/>
      <c r="B765" s="23"/>
      <c r="C765" s="34"/>
      <c r="D765" s="35"/>
      <c r="E765" s="35"/>
      <c r="F765" s="4"/>
    </row>
    <row r="766" ht="12.75" customHeight="1">
      <c r="A766" s="23"/>
      <c r="B766" s="23"/>
      <c r="C766" s="34"/>
      <c r="D766" s="35"/>
      <c r="E766" s="35"/>
      <c r="F766" s="4"/>
    </row>
    <row r="767" ht="12.75" customHeight="1">
      <c r="A767" s="23"/>
      <c r="B767" s="23"/>
      <c r="C767" s="34"/>
      <c r="D767" s="35"/>
      <c r="E767" s="35"/>
      <c r="F767" s="4"/>
    </row>
    <row r="768" ht="12.75" customHeight="1">
      <c r="A768" s="23"/>
      <c r="B768" s="23"/>
      <c r="C768" s="34"/>
      <c r="D768" s="35"/>
      <c r="E768" s="35"/>
      <c r="F768" s="4"/>
    </row>
    <row r="769" ht="12.75" customHeight="1">
      <c r="A769" s="23"/>
      <c r="B769" s="23"/>
      <c r="C769" s="34"/>
      <c r="D769" s="35"/>
      <c r="E769" s="35"/>
      <c r="F769" s="4"/>
    </row>
    <row r="770" ht="12.75" customHeight="1">
      <c r="A770" s="23"/>
      <c r="B770" s="23"/>
      <c r="C770" s="34"/>
      <c r="D770" s="35"/>
      <c r="E770" s="35"/>
      <c r="F770" s="4"/>
    </row>
    <row r="771" ht="12.75" customHeight="1">
      <c r="A771" s="23"/>
      <c r="B771" s="23"/>
      <c r="C771" s="34"/>
      <c r="D771" s="35"/>
      <c r="E771" s="35"/>
      <c r="F771" s="4"/>
    </row>
    <row r="772" ht="12.75" customHeight="1">
      <c r="A772" s="23"/>
      <c r="B772" s="23"/>
      <c r="C772" s="34"/>
      <c r="D772" s="35"/>
      <c r="E772" s="35"/>
      <c r="F772" s="4"/>
    </row>
    <row r="773" ht="13.5" customHeight="1">
      <c r="A773" s="36"/>
      <c r="B773" s="36"/>
      <c r="C773" s="37"/>
      <c r="D773" s="38"/>
      <c r="E773" s="38"/>
      <c r="F773" s="22"/>
    </row>
    <row r="774" ht="13.5" customHeight="1">
      <c r="A774" s="36"/>
      <c r="B774" s="36"/>
      <c r="C774" s="37"/>
      <c r="D774" s="38"/>
      <c r="E774" s="38"/>
      <c r="F774" s="22"/>
    </row>
    <row r="775" ht="13.5" customHeight="1">
      <c r="A775" s="36"/>
      <c r="B775" s="36"/>
      <c r="C775" s="37"/>
      <c r="D775" s="38"/>
      <c r="E775" s="38"/>
      <c r="F775" s="22"/>
    </row>
    <row r="776" ht="13.5" customHeight="1">
      <c r="A776" s="36"/>
      <c r="B776" s="36"/>
      <c r="C776" s="37"/>
      <c r="D776" s="38"/>
      <c r="E776" s="38"/>
      <c r="F776" s="22"/>
    </row>
    <row r="777" ht="13.5" customHeight="1">
      <c r="A777" s="36"/>
      <c r="B777" s="36"/>
      <c r="C777" s="37"/>
      <c r="D777" s="38"/>
      <c r="E777" s="38"/>
      <c r="F777" s="22"/>
    </row>
    <row r="778" ht="13.5" customHeight="1">
      <c r="A778" s="36"/>
      <c r="B778" s="36"/>
      <c r="C778" s="37"/>
      <c r="D778" s="38"/>
      <c r="E778" s="38"/>
      <c r="F778" s="22"/>
    </row>
    <row r="779" ht="13.5" customHeight="1">
      <c r="A779" s="39"/>
      <c r="E779" s="38"/>
      <c r="F779" s="22"/>
    </row>
    <row r="780" ht="13.5" customHeight="1">
      <c r="A780" s="39"/>
      <c r="E780" s="38"/>
      <c r="F780" s="22"/>
    </row>
    <row r="781" ht="13.5" customHeight="1">
      <c r="A781" s="40"/>
      <c r="E781" s="38"/>
      <c r="F781" s="22"/>
    </row>
    <row r="782" ht="13.5" customHeight="1">
      <c r="A782" s="41"/>
      <c r="B782" s="41"/>
      <c r="C782" s="42"/>
      <c r="D782" s="43"/>
      <c r="E782" s="38"/>
      <c r="F782" s="22"/>
    </row>
    <row r="783" ht="18.0" customHeight="1">
      <c r="A783" s="44"/>
      <c r="E783" s="38"/>
      <c r="F783" s="22"/>
    </row>
    <row r="784" ht="13.5" customHeight="1">
      <c r="A784" s="36"/>
      <c r="B784" s="36"/>
      <c r="C784" s="37"/>
      <c r="D784" s="38"/>
      <c r="E784" s="38"/>
      <c r="F784" s="22"/>
    </row>
    <row r="785" ht="13.5" customHeight="1">
      <c r="A785" s="36"/>
      <c r="B785" s="36"/>
      <c r="C785" s="37"/>
      <c r="D785" s="38"/>
      <c r="E785" s="38"/>
      <c r="F785" s="22"/>
    </row>
    <row r="786" ht="13.5" customHeight="1">
      <c r="A786" s="36"/>
      <c r="B786" s="36"/>
      <c r="C786" s="37"/>
      <c r="D786" s="38"/>
      <c r="E786" s="38"/>
      <c r="F786" s="22"/>
    </row>
    <row r="787" ht="13.5" customHeight="1">
      <c r="A787" s="36"/>
      <c r="B787" s="36"/>
      <c r="C787" s="37"/>
      <c r="D787" s="38"/>
      <c r="E787" s="38"/>
      <c r="F787" s="22"/>
    </row>
    <row r="788" ht="13.5" customHeight="1">
      <c r="A788" s="36"/>
      <c r="B788" s="36"/>
      <c r="C788" s="37"/>
      <c r="D788" s="38"/>
      <c r="E788" s="38"/>
      <c r="F788" s="22"/>
    </row>
    <row r="789" ht="13.5" customHeight="1">
      <c r="A789" s="36"/>
      <c r="B789" s="36"/>
      <c r="C789" s="37"/>
      <c r="D789" s="38"/>
      <c r="E789" s="38"/>
      <c r="F789" s="22"/>
    </row>
    <row r="790" ht="13.5" customHeight="1">
      <c r="A790" s="36"/>
      <c r="B790" s="36"/>
      <c r="C790" s="37"/>
      <c r="D790" s="38"/>
      <c r="E790" s="38"/>
      <c r="F790" s="22"/>
    </row>
    <row r="791" ht="13.5" customHeight="1">
      <c r="A791" s="36"/>
      <c r="B791" s="36"/>
      <c r="C791" s="37"/>
      <c r="D791" s="38"/>
      <c r="E791" s="38"/>
      <c r="F791" s="22"/>
    </row>
    <row r="792" ht="13.5" customHeight="1">
      <c r="A792" s="36"/>
      <c r="B792" s="36"/>
      <c r="C792" s="37"/>
      <c r="D792" s="38"/>
      <c r="E792" s="38"/>
      <c r="F792" s="22"/>
    </row>
    <row r="793" ht="13.5" customHeight="1">
      <c r="A793" s="36"/>
      <c r="B793" s="36"/>
      <c r="C793" s="37"/>
      <c r="D793" s="38"/>
      <c r="E793" s="38"/>
      <c r="F793" s="22"/>
    </row>
    <row r="794" ht="13.5" customHeight="1">
      <c r="A794" s="36"/>
      <c r="B794" s="36"/>
      <c r="C794" s="37"/>
      <c r="D794" s="38"/>
      <c r="E794" s="38"/>
      <c r="F794" s="22"/>
    </row>
    <row r="795" ht="13.5" customHeight="1">
      <c r="A795" s="36"/>
      <c r="B795" s="36"/>
      <c r="C795" s="37"/>
      <c r="D795" s="38"/>
      <c r="E795" s="38"/>
      <c r="F795" s="22"/>
    </row>
    <row r="796" ht="13.5" customHeight="1">
      <c r="A796" s="36"/>
      <c r="B796" s="36"/>
      <c r="C796" s="37"/>
      <c r="D796" s="38"/>
      <c r="E796" s="38"/>
      <c r="F796" s="22"/>
    </row>
    <row r="797" ht="13.5" customHeight="1">
      <c r="A797" s="36"/>
      <c r="B797" s="36"/>
      <c r="C797" s="37"/>
      <c r="D797" s="38"/>
      <c r="E797" s="38"/>
      <c r="F797" s="22"/>
    </row>
    <row r="798" ht="13.5" customHeight="1">
      <c r="A798" s="39"/>
      <c r="E798" s="38"/>
      <c r="F798" s="22"/>
    </row>
    <row r="799" ht="13.5" customHeight="1">
      <c r="A799" s="39"/>
      <c r="E799" s="38"/>
      <c r="F799" s="22"/>
    </row>
    <row r="800" ht="13.5" customHeight="1">
      <c r="A800" s="45"/>
      <c r="E800" s="38"/>
      <c r="F800" s="22"/>
    </row>
    <row r="801" ht="13.5" customHeight="1">
      <c r="A801" s="41"/>
      <c r="B801" s="41"/>
      <c r="C801" s="42"/>
      <c r="D801" s="43"/>
      <c r="E801" s="38"/>
      <c r="F801" s="22"/>
    </row>
    <row r="802" ht="18.0" customHeight="1">
      <c r="A802" s="44"/>
      <c r="E802" s="38"/>
      <c r="F802" s="22"/>
    </row>
    <row r="803" ht="13.5" customHeight="1">
      <c r="A803" s="45"/>
      <c r="E803" s="38"/>
      <c r="F803" s="22"/>
    </row>
    <row r="804" ht="13.5" customHeight="1">
      <c r="A804" s="39"/>
      <c r="E804" s="38"/>
      <c r="F804" s="22"/>
    </row>
    <row r="805" ht="13.5" customHeight="1">
      <c r="A805" s="39"/>
      <c r="E805" s="38"/>
      <c r="F805" s="22"/>
    </row>
    <row r="806" ht="13.5" customHeight="1">
      <c r="A806" s="40"/>
      <c r="E806" s="38"/>
      <c r="F806" s="22"/>
    </row>
    <row r="807" ht="13.5" customHeight="1">
      <c r="A807" s="41"/>
      <c r="B807" s="41"/>
      <c r="C807" s="42"/>
      <c r="D807" s="43"/>
      <c r="E807" s="38"/>
      <c r="F807" s="22"/>
    </row>
  </sheetData>
  <autoFilter ref="$A$1:$E$807"/>
  <mergeCells count="12">
    <mergeCell ref="A779:D779"/>
    <mergeCell ref="A780:D780"/>
    <mergeCell ref="A804:D804"/>
    <mergeCell ref="A805:D805"/>
    <mergeCell ref="A806:D806"/>
    <mergeCell ref="A781:D781"/>
    <mergeCell ref="A783:D783"/>
    <mergeCell ref="A798:D798"/>
    <mergeCell ref="A799:D799"/>
    <mergeCell ref="A800:D800"/>
    <mergeCell ref="A802:D802"/>
    <mergeCell ref="A803:D803"/>
  </mergeCells>
  <printOptions/>
  <pageMargins bottom="0.75" footer="0.0" header="0.0" left="0.7" right="0.7" top="0.75"/>
  <pageSetup orientation="landscape"/>
  <drawing r:id="rId1"/>
</worksheet>
</file>